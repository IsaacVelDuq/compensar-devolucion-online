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uxtesoreria2\Downloads\"/>
    </mc:Choice>
  </mc:AlternateContent>
  <xr:revisionPtr revIDLastSave="0" documentId="13_ncr:1_{530EF9BB-FD99-4C29-AC7F-23C77B574692}" xr6:coauthVersionLast="47" xr6:coauthVersionMax="47" xr10:uidLastSave="{00000000-0000-0000-0000-000000000000}"/>
  <bookViews>
    <workbookView xWindow="-120" yWindow="-120" windowWidth="20730" windowHeight="11040" xr2:uid="{14878A76-A5C7-4F9C-A2C1-36E18156F322}"/>
  </bookViews>
  <sheets>
    <sheet name="Hoja1" sheetId="1" r:id="rId1"/>
  </sheets>
  <definedNames>
    <definedName name="_xlnm._FilterDatabase" localSheetId="0" hidden="1">Hoja1!$A$1:$Q$76</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7" i="1" l="1"/>
</calcChain>
</file>

<file path=xl/sharedStrings.xml><?xml version="1.0" encoding="utf-8"?>
<sst xmlns="http://schemas.openxmlformats.org/spreadsheetml/2006/main" count="638" uniqueCount="225">
  <si>
    <t>Fecha de devolución o saldo</t>
  </si>
  <si>
    <t>Fecha del pedido</t>
  </si>
  <si>
    <t>Pedido a devolver</t>
  </si>
  <si>
    <t>Marca</t>
  </si>
  <si>
    <t>Origen</t>
  </si>
  <si>
    <t>Nombre cliente devolución</t>
  </si>
  <si>
    <t>Cédula cliente o nit</t>
  </si>
  <si>
    <t>Banco a devolver</t>
  </si>
  <si>
    <t>Tipo de cuenta</t>
  </si>
  <si>
    <t>Número de cuenta</t>
  </si>
  <si>
    <t>Valor devolución o saldo</t>
  </si>
  <si>
    <t>Asesor que ingresa</t>
  </si>
  <si>
    <t>Motivos de devolución</t>
  </si>
  <si>
    <t>Observación</t>
  </si>
  <si>
    <t>Correo</t>
  </si>
  <si>
    <t>Doc contable</t>
  </si>
  <si>
    <t>American Eagle</t>
  </si>
  <si>
    <t>Formularios Web</t>
  </si>
  <si>
    <t>Carlos Silva</t>
  </si>
  <si>
    <t>BANCO DAVIVIENDA S.A.</t>
  </si>
  <si>
    <t>AHORROS</t>
  </si>
  <si>
    <t>Carlos Jurado</t>
  </si>
  <si>
    <t>retracto de compra online</t>
  </si>
  <si>
    <t>Solicita devolución de dinero.</t>
  </si>
  <si>
    <t>Vivant</t>
  </si>
  <si>
    <t>Daniela Castro</t>
  </si>
  <si>
    <t>BANCOLOMBIA S.A.</t>
  </si>
  <si>
    <t>Faniuska Pire</t>
  </si>
  <si>
    <t>devolución whatsapp - retracto de compra</t>
  </si>
  <si>
    <t>Retracto de compra WhatsApp</t>
  </si>
  <si>
    <t>Outlet 50%</t>
  </si>
  <si>
    <t>devolución tienda fisica - cobro errado</t>
  </si>
  <si>
    <t>Se ingresa requerimiento por devolución de cobro errado ya que al cliente se le facturo 2 veces una prenda, desde tienda nos generaron la NC y el traslado y el valor de la prenda.</t>
  </si>
  <si>
    <t>Naf Naf</t>
  </si>
  <si>
    <t>Catalina Vasquez Gomez</t>
  </si>
  <si>
    <t>Derly Muñoz</t>
  </si>
  <si>
    <t>Devolución de dinero parcial por la ref  019G395.</t>
  </si>
  <si>
    <t>Beatriz Rueda</t>
  </si>
  <si>
    <t>Angela Vélez Rúa</t>
  </si>
  <si>
    <t>Se solicita devolución de dinero.</t>
  </si>
  <si>
    <t>Oscar Riaño</t>
  </si>
  <si>
    <t>Devolución de dinero total sin flete.</t>
  </si>
  <si>
    <t>Mango</t>
  </si>
  <si>
    <t>Leonor María Rivera Julio</t>
  </si>
  <si>
    <t>Weifran Angel</t>
  </si>
  <si>
    <t>Se solicita devolución de dinero por retracto de WhastApp. Codigo aprobación Wompi 38914.</t>
  </si>
  <si>
    <t>Retracto de compra</t>
  </si>
  <si>
    <t>Maria Isabel Estrada</t>
  </si>
  <si>
    <t>Alba García</t>
  </si>
  <si>
    <t>Devolución de dinero por retracto de compra</t>
  </si>
  <si>
    <t>Jenifer Patiño Lozano</t>
  </si>
  <si>
    <t>Esprit</t>
  </si>
  <si>
    <t>Paula Pinilla</t>
  </si>
  <si>
    <t>BANCO DE BOGOTA</t>
  </si>
  <si>
    <t>garantía - calidad</t>
  </si>
  <si>
    <t>Se solicita devolución de dinero por garantía calidad 1.</t>
  </si>
  <si>
    <t>Manuel Carcamo</t>
  </si>
  <si>
    <t>Jhonier Pérez</t>
  </si>
  <si>
    <t>Se solicita devolución de dinero por retracto de compra.</t>
  </si>
  <si>
    <t>Clara Margarita Osuna</t>
  </si>
  <si>
    <t>Erica Zuluaga</t>
  </si>
  <si>
    <t>Devolución de dinero parcial por retracto de compra online..</t>
  </si>
  <si>
    <t>Chevignon</t>
  </si>
  <si>
    <t>Elizabeth Quiceno</t>
  </si>
  <si>
    <t>Nancy Milena Ramirez Bernal</t>
  </si>
  <si>
    <t>Yerlis causil</t>
  </si>
  <si>
    <t>Viviana Cardona</t>
  </si>
  <si>
    <t>Se solicita devolución de dinero por retracto.</t>
  </si>
  <si>
    <t>Katya Margarita Fernández Montenegro</t>
  </si>
  <si>
    <t>BANCO CAJA SOCIAL - BCSC S.A.</t>
  </si>
  <si>
    <t>Veronica Perez</t>
  </si>
  <si>
    <t>Se solicita devolución de dinero, por retracto</t>
  </si>
  <si>
    <t>Xilene Manga Nigro</t>
  </si>
  <si>
    <t>Juliana Mesa</t>
  </si>
  <si>
    <t>Devolución de dinero parcial por retracto de compra online.</t>
  </si>
  <si>
    <t>María Paula Cepeda</t>
  </si>
  <si>
    <t>Alejandra Monsalve</t>
  </si>
  <si>
    <t>Se solicita devolución de dinero de la referencia 532H004.</t>
  </si>
  <si>
    <t>Yenifer galvan</t>
  </si>
  <si>
    <t>Devolución de dinero parcial por retracto (cuenta completa 01944027803)</t>
  </si>
  <si>
    <t>Andres Cabrera</t>
  </si>
  <si>
    <t>NEQUI</t>
  </si>
  <si>
    <t>Devolución de dinero por retracto</t>
  </si>
  <si>
    <t>Lina Maria Osorio Hurtado</t>
  </si>
  <si>
    <t>Andres C</t>
  </si>
  <si>
    <t>Devolución de dinero por retracto de las 2 referencias</t>
  </si>
  <si>
    <t>Diego Riaño</t>
  </si>
  <si>
    <t>Evelyn Perez</t>
  </si>
  <si>
    <t>Se solicita devolución de dinero parcial por la referencia 622H013.</t>
  </si>
  <si>
    <t>Call Center</t>
  </si>
  <si>
    <t>Maria Eugenia Cano Toro</t>
  </si>
  <si>
    <t>Se solicita devolución de dinero de la referencia 671H000.</t>
  </si>
  <si>
    <t>Americanino</t>
  </si>
  <si>
    <t>Jhonn Alexander Gomez Barrera</t>
  </si>
  <si>
    <t>FINANCIERA JURISCOOP</t>
  </si>
  <si>
    <t>Antony Vasquez</t>
  </si>
  <si>
    <t>Se solicita devolución de dinero, por retracto.</t>
  </si>
  <si>
    <t>Lina María Lopera Londoño</t>
  </si>
  <si>
    <t>Manuela Arango</t>
  </si>
  <si>
    <t>producto errado/trocado</t>
  </si>
  <si>
    <t>Devolución de dinero por producto errado</t>
  </si>
  <si>
    <t>Se solicita devolución de dinero del pedido total.</t>
  </si>
  <si>
    <t>Santiago Delgado Montoya</t>
  </si>
  <si>
    <t>Cristina Angel Castrillón</t>
  </si>
  <si>
    <t>Angélica Parra</t>
  </si>
  <si>
    <t>Alexandra Melo</t>
  </si>
  <si>
    <t>DAVIPLATA</t>
  </si>
  <si>
    <t>Back Office</t>
  </si>
  <si>
    <t>Natalia Maya</t>
  </si>
  <si>
    <t>JuanF Perez</t>
  </si>
  <si>
    <t>Devolución de dinero, en SAP ya contamos con NC en estado concluido. (El caso inicial es de Self Service 1665673, la compra fue realizada con el crédito SUMAS, se valida con BO e indica que no se puede solicitar la Anulación del crédito porque han pasado más de 30 días)</t>
  </si>
  <si>
    <t>Se solicita devolución de dinero parcial por la referencia 113G006.</t>
  </si>
  <si>
    <t>Doralba Gutiérrez</t>
  </si>
  <si>
    <t>Vanesa Meneses</t>
  </si>
  <si>
    <t>Se solicita devolución de dinero por retracto del pedido parcial, sin flete.</t>
  </si>
  <si>
    <t>BBVA COLOMBIA</t>
  </si>
  <si>
    <t>Heidi Contreras</t>
  </si>
  <si>
    <t>Valentina Bermúdez</t>
  </si>
  <si>
    <t>cancelación de pedido</t>
  </si>
  <si>
    <t>Devolución de dinero por perdida de pedido en bodega.</t>
  </si>
  <si>
    <t>MNG0004HE5SW</t>
  </si>
  <si>
    <t>MNG0004GSNFF</t>
  </si>
  <si>
    <t>Angie Daniela Duran Gomez</t>
  </si>
  <si>
    <t>agotado para el cambio</t>
  </si>
  <si>
    <t>Se solicita devolución de dinero por agotado para el cambio.</t>
  </si>
  <si>
    <t>MNG0004HH8SU</t>
  </si>
  <si>
    <t>Susana De Greiff Lafaurie</t>
  </si>
  <si>
    <t>Devolución de dinero, en SAP ya contamos con NC en estado concluido.</t>
  </si>
  <si>
    <t>MNG0004HANE9</t>
  </si>
  <si>
    <t>Mary Cruz Ortega Hernandez</t>
  </si>
  <si>
    <t>Devolución de dinero total por retracto de compra online.</t>
  </si>
  <si>
    <t>MNG0004GAZXY</t>
  </si>
  <si>
    <t>Jonathan Alaguna Espinosa</t>
  </si>
  <si>
    <t>Se solicita de devolución de dinero del pedido total.</t>
  </si>
  <si>
    <t>MNG0004GZX0Y</t>
  </si>
  <si>
    <t>Valeria Reza</t>
  </si>
  <si>
    <t>Devolución de dinero por retracto de 3 referencias</t>
  </si>
  <si>
    <t>MNG0004GWQZR</t>
  </si>
  <si>
    <t>Lady Dahiana Vergara</t>
  </si>
  <si>
    <t>Devolución de dinero por al referencia 27087158</t>
  </si>
  <si>
    <t>MNG0004H1ZAD</t>
  </si>
  <si>
    <t>Nury Cabrejo</t>
  </si>
  <si>
    <t>MNG0004GQE9N</t>
  </si>
  <si>
    <t>Juliana Andrea Torres Bustamante</t>
  </si>
  <si>
    <t>MNG0004GXQG5</t>
  </si>
  <si>
    <t>Diana Malaver</t>
  </si>
  <si>
    <t>Yurany Ch.</t>
  </si>
  <si>
    <t>Devolución de dinero por solicitud de retracto.</t>
  </si>
  <si>
    <t>MNG0004HBZM5</t>
  </si>
  <si>
    <t>Se solicita devolución de dinero parcial por la referencia 27041263.</t>
  </si>
  <si>
    <t>MNG0004FA7DO</t>
  </si>
  <si>
    <t>Olga Lucía Becerra Dorado</t>
  </si>
  <si>
    <t>Wilnaffer Gonzalez</t>
  </si>
  <si>
    <t>Se solicita devolución de dinero parcial por agotado para el cambio para las referencias 27037153,27087940</t>
  </si>
  <si>
    <t>MNG0004G3F6P</t>
  </si>
  <si>
    <t>Jessica Ocampo Sandoval</t>
  </si>
  <si>
    <t>Devolución de dinero por agotado para el cambio</t>
  </si>
  <si>
    <t>Rifle</t>
  </si>
  <si>
    <t>Alvaro Nicolas Agreda Bogota</t>
  </si>
  <si>
    <t>cambio de decisión - se invalidó el código anterior</t>
  </si>
  <si>
    <t>Cambio de decisión, saldo a favor aprobado el 06/01/2026 en la data 06/01/2026, no se inactiva el saldo a favor , ya que no fue creado.</t>
  </si>
  <si>
    <t>Sara Cristina Jimenez Palacio</t>
  </si>
  <si>
    <t>Tatiana yepes</t>
  </si>
  <si>
    <t>agotado para el pedido</t>
  </si>
  <si>
    <t>se solicita devolución de dinero por agotado para el pedido</t>
  </si>
  <si>
    <t>Rosa Arias</t>
  </si>
  <si>
    <t>Devolución de dinero por la ref 04333746, por garantía calidad  2.</t>
  </si>
  <si>
    <t>Se solicita devolución de dinero  por pedido devuelto a tienda.</t>
  </si>
  <si>
    <t>MNG0004F2GOQ</t>
  </si>
  <si>
    <t>Miryan Malaver Artunduaga</t>
  </si>
  <si>
    <t>Marlen taborda</t>
  </si>
  <si>
    <t>llevar al gasto - solicitado por la marca</t>
  </si>
  <si>
    <t>Devolucion de dinero, llevar al gasto aprobado por la marca</t>
  </si>
  <si>
    <t>Jose Rodrigo Botero Orozco</t>
  </si>
  <si>
    <t>llevar al gasto - devolución de flete</t>
  </si>
  <si>
    <t>La guía 20017943402 presentó novedad: "No se entrega, el destinatario no cancela el flete. Fce", el cliente paga de su cuenta el valor del flete ($26.730), en los anexos se encuentra el comprobante de pago. Se aprueban $26.730 para llevar al gasto por novedad con el flete, Se valida el caso con el BO</t>
  </si>
  <si>
    <t>Claudia Holguin</t>
  </si>
  <si>
    <t>Solicita devolución de dinero parcial ya que la opción de retracto no lleva flete.</t>
  </si>
  <si>
    <t>Olga Liliana Ocampo Contreras</t>
  </si>
  <si>
    <t>Cambio de decisión, saldo a favor aprobado el 22/07/2026 en la data 22/07/2026, se inactiva el saldo a favor.</t>
  </si>
  <si>
    <t>ESC-1407</t>
  </si>
  <si>
    <t>Mariana Lucia Celis Velasco</t>
  </si>
  <si>
    <t>Sara Catalina Narvaez Arturo</t>
  </si>
  <si>
    <t>María Esperanza Hurtado</t>
  </si>
  <si>
    <t>Retracto de compra WhatsApp parcial ya que el medio de pago es sumas</t>
  </si>
  <si>
    <t>devolución tienda fisica - retracto de compra</t>
  </si>
  <si>
    <t>Devolución de dinero  bono regalo autorizado Por parte de marca nos indican por medio de correo SAC: "Autorizamos la devolución y la generación de la nota crédito (NC) correspondiente. Quedo pendiente del medio de pago 135 para finalizar la gestión"</t>
  </si>
  <si>
    <t>Blanca Cecilia Garcia De Paez</t>
  </si>
  <si>
    <t>Devolución de dinero total de compra realizada en tienda física, nc y trasl en correo sac.</t>
  </si>
  <si>
    <t>ESC-1573</t>
  </si>
  <si>
    <t>Cliente solicita devolución de dinero por agotado para el pedido. Se corrige valor por novedad en Shopify y valor en SAP.</t>
  </si>
  <si>
    <t>ESC-3537</t>
  </si>
  <si>
    <t>Whatsapp</t>
  </si>
  <si>
    <t>Sara Torres Henao</t>
  </si>
  <si>
    <t>8300056402 5600284255</t>
  </si>
  <si>
    <t>8300056398 5600248846</t>
  </si>
  <si>
    <t>Elizabeth Corrales Bedoya</t>
  </si>
  <si>
    <t>Devolución de dinero total .</t>
  </si>
  <si>
    <t>Sindy Suárez</t>
  </si>
  <si>
    <t>Elvira Hernández U</t>
  </si>
  <si>
    <t>Martha Moreno Baron</t>
  </si>
  <si>
    <t>devolución tienda fisica - autorizado por la marca</t>
  </si>
  <si>
    <t>Valeria Enciso</t>
  </si>
  <si>
    <t>Devolución de dinero por la referencia 04376056</t>
  </si>
  <si>
    <t>Diana Gutierrez</t>
  </si>
  <si>
    <t>Se solicita devolución de dinero, pro agotado para el pedido</t>
  </si>
  <si>
    <t>Laura Ramirez Giraldo</t>
  </si>
  <si>
    <t>8300055994 5600282749</t>
  </si>
  <si>
    <t>Yecson Silva Ramírez</t>
  </si>
  <si>
    <t>Se solicita devolución de dinero por unica prenda del pedido.</t>
  </si>
  <si>
    <t>Raquel Andrea Gomez M</t>
  </si>
  <si>
    <t>Devolución de dinero por la referencia 461H301</t>
  </si>
  <si>
    <t>Jorge Alcantara Guzman</t>
  </si>
  <si>
    <t>Manuel Alejandro Trompamoreno</t>
  </si>
  <si>
    <t>Eder Jimenez Villamizar</t>
  </si>
  <si>
    <t>Juan Carlos Florez Arango</t>
  </si>
  <si>
    <t>Claudia Santos De Carrillo</t>
  </si>
  <si>
    <t>Aida Manrique López</t>
  </si>
  <si>
    <t>Zuleima Serrano Serrano</t>
  </si>
  <si>
    <t>Libia Paulina Gomez Higuera</t>
  </si>
  <si>
    <t>Leandro Florez</t>
  </si>
  <si>
    <t>Maria Camila Henao Solarte</t>
  </si>
  <si>
    <t>Grecia Ortega Blanco</t>
  </si>
  <si>
    <t>TOTAL</t>
  </si>
  <si>
    <t>Numero de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</si>
</sst>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 #,##0"/>
  </numFmts>
  <fonts count="4" x14ac:knownFonts="1">
    <font>
      <sz val="11"/>
      <color theme="1"/>
      <name val="Aptos Narrow"/>
      <family val="2"/>
      <scheme val="minor"/>
    </font>
    <font>
      <b/>
      <sz val="11"/>
      <color theme="1"/>
      <name val="Aptos Narrow"/>
      <family val="2"/>
      <scheme val="minor"/>
    </font>
    <font>
      <b/>
      <sz val="11"/>
      <color rgb="FFFFFFFF"/>
      <name val="Calibri"/>
      <family val="2"/>
      <charset val="1"/>
    </font>
    <font>
      <sz val="11"/>
      <color rgb="FFFF0000"/>
      <name val="Calibri"/>
      <family val="2"/>
      <charset val="1"/>
    </font>
  </fonts>
  <fills count="5">
    <fill>
      <patternFill patternType="none"/>
    </fill>
    <fill>
      <patternFill patternType="gray125"/>
    </fill>
    <fill>
      <patternFill patternType="solid">
        <fgColor rgb="FF5B9BD5"/>
        <bgColor rgb="FF8DBAE3"/>
      </patternFill>
    </fill>
    <fill>
      <patternFill patternType="solid">
        <fgColor rgb="FFDEEBF7"/>
        <bgColor rgb="FFCCFFFF"/>
      </patternFill>
    </fill>
    <fill>
      <patternFill patternType="solid">
        <fgColor rgb="FFFFFFFF"/>
        <bgColor rgb="FFFFFFCC"/>
      </patternFill>
    </fill>
  </fills>
  <borders count="4">
    <border>
      <left/>
      <right/>
      <top/>
      <bottom/>
      <diagonal/>
    </border>
    <border>
      <left style="thin">
        <color rgb="FF8DBAE3"/>
      </left>
      <right/>
      <top style="thin">
        <color rgb="FF8DBAE3"/>
      </top>
      <bottom style="thin">
        <color rgb="FF8DBAE3"/>
      </bottom>
      <diagonal/>
    </border>
    <border>
      <left/>
      <right/>
      <top style="thin">
        <color rgb="FF8DBAE3"/>
      </top>
      <bottom style="thin">
        <color rgb="FF8DBAE3"/>
      </bottom>
      <diagonal/>
    </border>
    <border>
      <left/>
      <right style="thin">
        <color rgb="FF8DBAE3"/>
      </right>
      <top style="thin">
        <color rgb="FF8DBAE3"/>
      </top>
      <bottom style="thin">
        <color rgb="FF8DBAE3"/>
      </bottom>
      <diagonal/>
    </border>
  </borders>
  <cellStyleXfs count="1">
    <xf numFmtId="0" fontId="0" fillId="0" borderId="0"/>
  </cellStyleXfs>
  <cellXfs count="15">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0" borderId="0" xfId="0" applyFont="1"/>
    <xf numFmtId="164" fontId="0" fillId="3" borderId="2" xfId="0" applyNumberFormat="1" applyFill="1" applyBorder="1" applyAlignment="1">
      <alignment horizontal="center"/>
    </xf>
    <xf numFmtId="0" fontId="0" fillId="3" borderId="2" xfId="0" applyFill="1" applyBorder="1" applyAlignment="1">
      <alignment horizontal="center"/>
    </xf>
    <xf numFmtId="1" fontId="0" fillId="3" borderId="2" xfId="0" applyNumberFormat="1" applyFill="1" applyBorder="1" applyAlignment="1">
      <alignment horizontal="center"/>
    </xf>
    <xf numFmtId="165" fontId="0" fillId="3" borderId="2" xfId="0" applyNumberFormat="1" applyFill="1" applyBorder="1" applyAlignment="1">
      <alignment horizontal="center"/>
    </xf>
    <xf numFmtId="164" fontId="0" fillId="4" borderId="2" xfId="0" applyNumberFormat="1" applyFill="1" applyBorder="1" applyAlignment="1">
      <alignment horizontal="center"/>
    </xf>
    <xf numFmtId="0" fontId="0" fillId="4" borderId="2" xfId="0" applyFill="1" applyBorder="1" applyAlignment="1">
      <alignment horizontal="center"/>
    </xf>
    <xf numFmtId="1" fontId="0" fillId="4" borderId="2" xfId="0" applyNumberFormat="1" applyFill="1" applyBorder="1" applyAlignment="1">
      <alignment horizontal="center"/>
    </xf>
    <xf numFmtId="165" fontId="0" fillId="4" borderId="2" xfId="0" applyNumberFormat="1" applyFill="1" applyBorder="1" applyAlignment="1">
      <alignment horizontal="center"/>
    </xf>
    <xf numFmtId="0" fontId="1" fillId="0" borderId="0" xfId="0" applyFont="1"/>
    <xf numFmtId="165" fontId="1"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70AD-53B8-425F-96D1-B5B01C2E0190}">
  <dimension ref="A1:Q77"/>
  <sheetViews>
    <sheetView tabSelected="1" topLeftCell="G1" zoomScale="85" zoomScaleNormal="85" workbookViewId="0">
      <selection activeCell="O1" sqref="O1"/>
    </sheetView>
  </sheetViews>
  <sheetFormatPr baseColWidth="10" defaultRowHeight="15" x14ac:dyDescent="0.25"/>
  <cols>
    <col min="1" max="1" width="22.85546875" bestFit="1" customWidth="1"/>
    <col min="2" max="2" width="14.28515625" bestFit="1" customWidth="1"/>
    <col min="3" max="3" width="15" bestFit="1" customWidth="1"/>
    <col min="4" max="4" width="12.7109375" bestFit="1" customWidth="1"/>
    <col min="5" max="5" width="6.140625" bestFit="1" customWidth="1"/>
    <col min="6" max="6" width="40" customWidth="1"/>
    <col min="7" max="7" width="24.28515625" customWidth="1"/>
    <col min="8" max="8" width="14.140625" bestFit="1" customWidth="1"/>
    <col min="9" max="9" width="12.28515625" bestFit="1" customWidth="1"/>
    <col min="10" max="10" width="34.7109375" customWidth="1"/>
    <col min="11" max="11" width="27.85546875" customWidth="1"/>
    <col min="12" max="12" width="15.5703125" bestFit="1" customWidth="1"/>
    <col min="13" max="13" width="18.85546875" bestFit="1" customWidth="1"/>
    <col min="14" max="14" width="10.42578125" bestFit="1" customWidth="1"/>
    <col min="15" max="15" width="13.42578125" bestFit="1" customWidth="1"/>
    <col min="16" max="16" width="6.140625" bestFit="1" customWidth="1"/>
    <col min="17" max="17" width="36.7109375" customWidth="1"/>
  </cols>
  <sheetData>
    <row r="1" spans="1:17"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224</v>
      </c>
      <c r="P1" s="2" t="s">
        <v>14</v>
      </c>
      <c r="Q1" s="3" t="s">
        <v>15</v>
      </c>
    </row>
    <row r="2" spans="1:17" x14ac:dyDescent="0.25">
      <c r="A2" s="5">
        <v>46247</v>
      </c>
      <c r="B2" s="5">
        <v>46238</v>
      </c>
      <c r="C2" s="6">
        <v>1335145</v>
      </c>
      <c r="D2" s="6" t="s">
        <v>16</v>
      </c>
      <c r="E2" s="6" t="s">
        <v>17</v>
      </c>
      <c r="F2" s="6" t="s">
        <v>18</v>
      </c>
      <c r="G2" s="7">
        <v>1026574461</v>
      </c>
      <c r="H2" s="6" t="s">
        <v>19</v>
      </c>
      <c r="I2" s="6" t="s">
        <v>20</v>
      </c>
      <c r="J2" s="7">
        <v>6400653850</v>
      </c>
      <c r="K2" s="8">
        <v>151146</v>
      </c>
      <c r="L2" s="6" t="s">
        <v>21</v>
      </c>
      <c r="M2" s="6" t="s">
        <v>22</v>
      </c>
      <c r="N2" s="6" t="s">
        <v>23</v>
      </c>
      <c r="O2" s="7">
        <v>1684441</v>
      </c>
      <c r="P2" s="6"/>
      <c r="Q2" s="7">
        <v>5903019387</v>
      </c>
    </row>
    <row r="3" spans="1:17" x14ac:dyDescent="0.25">
      <c r="A3" s="9">
        <v>46247</v>
      </c>
      <c r="B3" s="9">
        <v>46230</v>
      </c>
      <c r="C3" s="10">
        <v>1332999</v>
      </c>
      <c r="D3" s="10" t="s">
        <v>16</v>
      </c>
      <c r="E3" s="10" t="s">
        <v>17</v>
      </c>
      <c r="F3" s="10" t="s">
        <v>40</v>
      </c>
      <c r="G3" s="11">
        <v>1018408290</v>
      </c>
      <c r="H3" s="10" t="s">
        <v>26</v>
      </c>
      <c r="I3" s="10" t="s">
        <v>20</v>
      </c>
      <c r="J3" s="11">
        <v>20414928065</v>
      </c>
      <c r="K3" s="12">
        <v>230930</v>
      </c>
      <c r="L3" s="10" t="s">
        <v>35</v>
      </c>
      <c r="M3" s="10" t="s">
        <v>22</v>
      </c>
      <c r="N3" s="10" t="s">
        <v>41</v>
      </c>
      <c r="O3" s="11">
        <v>1680135</v>
      </c>
      <c r="P3" s="10"/>
      <c r="Q3" s="11">
        <v>5903016952</v>
      </c>
    </row>
    <row r="4" spans="1:17" x14ac:dyDescent="0.25">
      <c r="A4" s="5">
        <v>46247</v>
      </c>
      <c r="B4" s="5">
        <v>46207</v>
      </c>
      <c r="C4" s="6">
        <v>1326765</v>
      </c>
      <c r="D4" s="6" t="s">
        <v>16</v>
      </c>
      <c r="E4" s="6" t="s">
        <v>107</v>
      </c>
      <c r="F4" s="6" t="s">
        <v>108</v>
      </c>
      <c r="G4" s="7">
        <v>1061748061</v>
      </c>
      <c r="H4" s="6" t="s">
        <v>19</v>
      </c>
      <c r="I4" s="6" t="s">
        <v>20</v>
      </c>
      <c r="J4" s="7">
        <v>550488402646423</v>
      </c>
      <c r="K4" s="8">
        <v>144837</v>
      </c>
      <c r="L4" s="6" t="s">
        <v>109</v>
      </c>
      <c r="M4" s="6" t="s">
        <v>22</v>
      </c>
      <c r="N4" s="6" t="s">
        <v>110</v>
      </c>
      <c r="O4" s="7">
        <v>1688683</v>
      </c>
      <c r="P4" s="6"/>
      <c r="Q4" s="7">
        <v>8300056419</v>
      </c>
    </row>
    <row r="5" spans="1:17" x14ac:dyDescent="0.25">
      <c r="A5" s="9">
        <v>46247</v>
      </c>
      <c r="B5" s="9">
        <v>46235</v>
      </c>
      <c r="C5" s="10">
        <v>1334423</v>
      </c>
      <c r="D5" s="10" t="s">
        <v>16</v>
      </c>
      <c r="E5" s="10" t="s">
        <v>107</v>
      </c>
      <c r="F5" s="10" t="s">
        <v>161</v>
      </c>
      <c r="G5" s="11">
        <v>1039454252</v>
      </c>
      <c r="H5" s="10" t="s">
        <v>26</v>
      </c>
      <c r="I5" s="10" t="s">
        <v>20</v>
      </c>
      <c r="J5" s="11">
        <v>29219977075</v>
      </c>
      <c r="K5" s="12">
        <v>129546</v>
      </c>
      <c r="L5" s="10" t="s">
        <v>162</v>
      </c>
      <c r="M5" s="10" t="s">
        <v>163</v>
      </c>
      <c r="N5" s="10" t="s">
        <v>164</v>
      </c>
      <c r="O5" s="11">
        <v>1683459</v>
      </c>
      <c r="P5" s="10"/>
      <c r="Q5" s="11">
        <v>8300056446</v>
      </c>
    </row>
    <row r="6" spans="1:17" x14ac:dyDescent="0.25">
      <c r="A6" s="5">
        <v>46247</v>
      </c>
      <c r="B6" s="5">
        <v>46227</v>
      </c>
      <c r="C6" s="6">
        <v>1332514</v>
      </c>
      <c r="D6" s="6" t="s">
        <v>16</v>
      </c>
      <c r="E6" s="6" t="s">
        <v>17</v>
      </c>
      <c r="F6" s="6" t="s">
        <v>165</v>
      </c>
      <c r="G6" s="7">
        <v>39056644</v>
      </c>
      <c r="H6" s="6" t="s">
        <v>26</v>
      </c>
      <c r="I6" s="6" t="s">
        <v>20</v>
      </c>
      <c r="J6" s="7">
        <v>48226064951</v>
      </c>
      <c r="K6" s="8">
        <v>110304</v>
      </c>
      <c r="L6" s="6" t="s">
        <v>35</v>
      </c>
      <c r="M6" s="6" t="s">
        <v>54</v>
      </c>
      <c r="N6" s="6" t="s">
        <v>166</v>
      </c>
      <c r="O6" s="7">
        <v>1675760</v>
      </c>
      <c r="P6" s="6"/>
      <c r="Q6" s="7">
        <v>5903017910</v>
      </c>
    </row>
    <row r="7" spans="1:17" x14ac:dyDescent="0.25">
      <c r="A7" s="9">
        <v>46247</v>
      </c>
      <c r="B7" s="9">
        <v>46222</v>
      </c>
      <c r="C7" s="10">
        <v>1330154</v>
      </c>
      <c r="D7" s="10" t="s">
        <v>16</v>
      </c>
      <c r="E7" s="10" t="s">
        <v>107</v>
      </c>
      <c r="F7" s="10" t="s">
        <v>212</v>
      </c>
      <c r="G7" s="11">
        <v>8786897</v>
      </c>
      <c r="H7" s="10" t="s">
        <v>115</v>
      </c>
      <c r="I7" s="10" t="s">
        <v>20</v>
      </c>
      <c r="J7" s="11">
        <v>306382144</v>
      </c>
      <c r="K7" s="12">
        <v>65050</v>
      </c>
      <c r="L7" s="10" t="s">
        <v>87</v>
      </c>
      <c r="M7" s="10" t="s">
        <v>118</v>
      </c>
      <c r="N7" s="10" t="s">
        <v>167</v>
      </c>
      <c r="O7" s="11">
        <v>1673741</v>
      </c>
      <c r="P7" s="10"/>
      <c r="Q7" s="11">
        <v>5903010185</v>
      </c>
    </row>
    <row r="8" spans="1:17" x14ac:dyDescent="0.25">
      <c r="A8" s="5">
        <v>46247</v>
      </c>
      <c r="B8" s="5">
        <v>46148</v>
      </c>
      <c r="C8" s="6">
        <v>0</v>
      </c>
      <c r="D8" s="6" t="s">
        <v>16</v>
      </c>
      <c r="E8" s="6" t="s">
        <v>17</v>
      </c>
      <c r="F8" s="6" t="s">
        <v>213</v>
      </c>
      <c r="G8" s="7">
        <v>1110574066</v>
      </c>
      <c r="H8" s="6" t="s">
        <v>81</v>
      </c>
      <c r="I8" s="6" t="s">
        <v>20</v>
      </c>
      <c r="J8" s="7">
        <v>3175628147</v>
      </c>
      <c r="K8" s="8">
        <v>30000</v>
      </c>
      <c r="L8" s="6" t="s">
        <v>117</v>
      </c>
      <c r="M8" s="6" t="s">
        <v>185</v>
      </c>
      <c r="N8" s="6" t="s">
        <v>186</v>
      </c>
      <c r="O8" s="7">
        <v>1670971</v>
      </c>
      <c r="P8" s="6"/>
      <c r="Q8" s="7">
        <v>5903014176</v>
      </c>
    </row>
    <row r="9" spans="1:17" x14ac:dyDescent="0.25">
      <c r="A9" s="9">
        <v>46237</v>
      </c>
      <c r="B9" s="9">
        <v>46200</v>
      </c>
      <c r="C9" s="10">
        <v>40185</v>
      </c>
      <c r="D9" s="10" t="s">
        <v>16</v>
      </c>
      <c r="E9" s="10" t="s">
        <v>17</v>
      </c>
      <c r="F9" s="10" t="s">
        <v>200</v>
      </c>
      <c r="G9" s="11">
        <v>28787558</v>
      </c>
      <c r="H9" s="10" t="s">
        <v>19</v>
      </c>
      <c r="I9" s="10" t="s">
        <v>20</v>
      </c>
      <c r="J9" s="11">
        <v>451800216785</v>
      </c>
      <c r="K9" s="12">
        <v>129900</v>
      </c>
      <c r="L9" s="10" t="s">
        <v>21</v>
      </c>
      <c r="M9" s="10" t="s">
        <v>201</v>
      </c>
      <c r="N9" s="10" t="s">
        <v>23</v>
      </c>
      <c r="O9" s="11">
        <v>1675532</v>
      </c>
      <c r="P9" s="10"/>
      <c r="Q9" s="11">
        <v>5902983837</v>
      </c>
    </row>
    <row r="10" spans="1:17" x14ac:dyDescent="0.25">
      <c r="A10" s="5">
        <v>46234</v>
      </c>
      <c r="B10" s="5">
        <v>46219</v>
      </c>
      <c r="C10" s="6">
        <v>1329140</v>
      </c>
      <c r="D10" s="6" t="s">
        <v>16</v>
      </c>
      <c r="E10" s="6" t="s">
        <v>17</v>
      </c>
      <c r="F10" s="6" t="s">
        <v>202</v>
      </c>
      <c r="G10" s="7">
        <v>1020748184</v>
      </c>
      <c r="H10" s="6" t="s">
        <v>53</v>
      </c>
      <c r="I10" s="6" t="s">
        <v>20</v>
      </c>
      <c r="J10" s="7">
        <v>637569849</v>
      </c>
      <c r="K10" s="8">
        <v>239920</v>
      </c>
      <c r="L10" s="6" t="s">
        <v>117</v>
      </c>
      <c r="M10" s="6" t="s">
        <v>22</v>
      </c>
      <c r="N10" s="6" t="s">
        <v>203</v>
      </c>
      <c r="O10" s="7">
        <v>1670761</v>
      </c>
      <c r="P10" s="6"/>
      <c r="Q10" s="7">
        <v>5902987549</v>
      </c>
    </row>
    <row r="11" spans="1:17" x14ac:dyDescent="0.25">
      <c r="A11" s="9">
        <v>46234</v>
      </c>
      <c r="B11" s="9">
        <v>46173</v>
      </c>
      <c r="C11" s="10">
        <v>1317403</v>
      </c>
      <c r="D11" s="10" t="s">
        <v>16</v>
      </c>
      <c r="E11" s="10" t="s">
        <v>107</v>
      </c>
      <c r="F11" s="10" t="s">
        <v>204</v>
      </c>
      <c r="G11" s="11">
        <v>42886796</v>
      </c>
      <c r="H11" s="10" t="s">
        <v>26</v>
      </c>
      <c r="I11" s="10" t="s">
        <v>20</v>
      </c>
      <c r="J11" s="11">
        <v>10272512508</v>
      </c>
      <c r="K11" s="12">
        <v>237438</v>
      </c>
      <c r="L11" s="10" t="s">
        <v>35</v>
      </c>
      <c r="M11" s="10" t="s">
        <v>163</v>
      </c>
      <c r="N11" s="10" t="s">
        <v>205</v>
      </c>
      <c r="O11" s="11">
        <v>1673418</v>
      </c>
      <c r="P11" s="10"/>
      <c r="Q11" s="11">
        <v>8300055922</v>
      </c>
    </row>
    <row r="12" spans="1:17" x14ac:dyDescent="0.25">
      <c r="A12" s="5">
        <v>46247</v>
      </c>
      <c r="B12" s="5">
        <v>46231</v>
      </c>
      <c r="C12" s="6">
        <v>32563169</v>
      </c>
      <c r="D12" s="6" t="s">
        <v>92</v>
      </c>
      <c r="E12" s="6" t="s">
        <v>17</v>
      </c>
      <c r="F12" s="6" t="s">
        <v>93</v>
      </c>
      <c r="G12" s="7">
        <v>74371490</v>
      </c>
      <c r="H12" s="6" t="s">
        <v>94</v>
      </c>
      <c r="I12" s="6" t="s">
        <v>20</v>
      </c>
      <c r="J12" s="7">
        <v>34003023818</v>
      </c>
      <c r="K12" s="8">
        <v>349860</v>
      </c>
      <c r="L12" s="6" t="s">
        <v>95</v>
      </c>
      <c r="M12" s="6" t="s">
        <v>22</v>
      </c>
      <c r="N12" s="6" t="s">
        <v>96</v>
      </c>
      <c r="O12" s="7">
        <v>1679971</v>
      </c>
      <c r="P12" s="6"/>
      <c r="Q12" s="7">
        <v>8300056408</v>
      </c>
    </row>
    <row r="13" spans="1:17" x14ac:dyDescent="0.25">
      <c r="A13" s="9">
        <v>46247</v>
      </c>
      <c r="B13" s="9">
        <v>46230</v>
      </c>
      <c r="C13" s="10">
        <v>32562428</v>
      </c>
      <c r="D13" s="10" t="s">
        <v>92</v>
      </c>
      <c r="E13" s="10" t="s">
        <v>17</v>
      </c>
      <c r="F13" s="10" t="s">
        <v>112</v>
      </c>
      <c r="G13" s="11">
        <v>32110890</v>
      </c>
      <c r="H13" s="10" t="s">
        <v>26</v>
      </c>
      <c r="I13" s="10" t="s">
        <v>20</v>
      </c>
      <c r="J13" s="11">
        <v>43875141008</v>
      </c>
      <c r="K13" s="12">
        <v>129950</v>
      </c>
      <c r="L13" s="10" t="s">
        <v>113</v>
      </c>
      <c r="M13" s="10" t="s">
        <v>22</v>
      </c>
      <c r="N13" s="10" t="s">
        <v>114</v>
      </c>
      <c r="O13" s="11">
        <v>1679311</v>
      </c>
      <c r="P13" s="10"/>
      <c r="Q13" s="11">
        <v>8300056404</v>
      </c>
    </row>
    <row r="14" spans="1:17" x14ac:dyDescent="0.25">
      <c r="A14" s="5">
        <v>46237</v>
      </c>
      <c r="B14" s="5">
        <v>46224</v>
      </c>
      <c r="C14" s="6">
        <v>32558873</v>
      </c>
      <c r="D14" s="6" t="s">
        <v>92</v>
      </c>
      <c r="E14" s="6" t="s">
        <v>89</v>
      </c>
      <c r="F14" s="6" t="s">
        <v>206</v>
      </c>
      <c r="G14" s="7">
        <v>1017274361</v>
      </c>
      <c r="H14" s="6" t="s">
        <v>26</v>
      </c>
      <c r="I14" s="6" t="s">
        <v>20</v>
      </c>
      <c r="J14" s="7">
        <v>91212936036</v>
      </c>
      <c r="K14" s="8">
        <v>133875</v>
      </c>
      <c r="L14" s="6" t="s">
        <v>21</v>
      </c>
      <c r="M14" s="6" t="s">
        <v>118</v>
      </c>
      <c r="N14" s="6" t="s">
        <v>23</v>
      </c>
      <c r="O14" s="7">
        <v>1670508</v>
      </c>
      <c r="P14" s="6"/>
      <c r="Q14" s="7" t="s">
        <v>207</v>
      </c>
    </row>
    <row r="15" spans="1:17" x14ac:dyDescent="0.25">
      <c r="A15" s="9">
        <v>46247</v>
      </c>
      <c r="B15" s="9">
        <v>46210</v>
      </c>
      <c r="C15" s="10">
        <v>22617331</v>
      </c>
      <c r="D15" s="10" t="s">
        <v>62</v>
      </c>
      <c r="E15" s="10" t="s">
        <v>17</v>
      </c>
      <c r="F15" s="10" t="s">
        <v>214</v>
      </c>
      <c r="G15" s="11">
        <v>1085228812</v>
      </c>
      <c r="H15" s="10" t="s">
        <v>26</v>
      </c>
      <c r="I15" s="10" t="s">
        <v>20</v>
      </c>
      <c r="J15" s="11">
        <v>95786564906</v>
      </c>
      <c r="K15" s="12">
        <v>622489</v>
      </c>
      <c r="L15" s="10" t="s">
        <v>63</v>
      </c>
      <c r="M15" s="10" t="s">
        <v>22</v>
      </c>
      <c r="N15" s="10" t="s">
        <v>58</v>
      </c>
      <c r="O15" s="11">
        <v>1664684</v>
      </c>
      <c r="P15" s="10"/>
      <c r="Q15" s="11">
        <v>8300056440</v>
      </c>
    </row>
    <row r="16" spans="1:17" x14ac:dyDescent="0.25">
      <c r="A16" s="5">
        <v>46247</v>
      </c>
      <c r="B16" s="5">
        <v>46228</v>
      </c>
      <c r="C16" s="6">
        <v>22631319</v>
      </c>
      <c r="D16" s="6" t="s">
        <v>62</v>
      </c>
      <c r="E16" s="6" t="s">
        <v>17</v>
      </c>
      <c r="F16" s="6" t="s">
        <v>64</v>
      </c>
      <c r="G16" s="7">
        <v>1048848690</v>
      </c>
      <c r="H16" s="6" t="s">
        <v>53</v>
      </c>
      <c r="I16" s="6" t="s">
        <v>20</v>
      </c>
      <c r="J16" s="7">
        <v>259135</v>
      </c>
      <c r="K16" s="8">
        <v>1079208</v>
      </c>
      <c r="L16" s="6" t="s">
        <v>65</v>
      </c>
      <c r="M16" s="6" t="s">
        <v>22</v>
      </c>
      <c r="N16" s="6" t="s">
        <v>58</v>
      </c>
      <c r="O16" s="7">
        <v>1682693</v>
      </c>
      <c r="P16" s="6"/>
      <c r="Q16" s="7">
        <v>8300056441</v>
      </c>
    </row>
    <row r="17" spans="1:17" x14ac:dyDescent="0.25">
      <c r="A17" s="9">
        <v>46247</v>
      </c>
      <c r="B17" s="9">
        <v>46232</v>
      </c>
      <c r="C17" s="10">
        <v>22633426</v>
      </c>
      <c r="D17" s="10" t="s">
        <v>62</v>
      </c>
      <c r="E17" s="10" t="s">
        <v>17</v>
      </c>
      <c r="F17" s="10" t="s">
        <v>215</v>
      </c>
      <c r="G17" s="11">
        <v>79934107</v>
      </c>
      <c r="H17" s="10" t="s">
        <v>26</v>
      </c>
      <c r="I17" s="10" t="s">
        <v>20</v>
      </c>
      <c r="J17" s="11">
        <v>1944027803</v>
      </c>
      <c r="K17" s="12">
        <v>293940</v>
      </c>
      <c r="L17" s="10" t="s">
        <v>78</v>
      </c>
      <c r="M17" s="10" t="s">
        <v>22</v>
      </c>
      <c r="N17" s="10" t="s">
        <v>79</v>
      </c>
      <c r="O17" s="11">
        <v>1680333</v>
      </c>
      <c r="P17" s="10"/>
      <c r="Q17" s="11">
        <v>8300056428</v>
      </c>
    </row>
    <row r="18" spans="1:17" x14ac:dyDescent="0.25">
      <c r="A18" s="5">
        <v>46247</v>
      </c>
      <c r="B18" s="5">
        <v>46228</v>
      </c>
      <c r="C18" s="6">
        <v>22630940</v>
      </c>
      <c r="D18" s="6" t="s">
        <v>62</v>
      </c>
      <c r="E18" s="6" t="s">
        <v>17</v>
      </c>
      <c r="F18" s="6" t="s">
        <v>80</v>
      </c>
      <c r="G18" s="7">
        <v>1010173470</v>
      </c>
      <c r="H18" s="6" t="s">
        <v>81</v>
      </c>
      <c r="I18" s="6" t="s">
        <v>20</v>
      </c>
      <c r="J18" s="7">
        <v>4093550028670340</v>
      </c>
      <c r="K18" s="8">
        <v>844285</v>
      </c>
      <c r="L18" s="6" t="s">
        <v>78</v>
      </c>
      <c r="M18" s="6" t="s">
        <v>22</v>
      </c>
      <c r="N18" s="6" t="s">
        <v>82</v>
      </c>
      <c r="O18" s="7">
        <v>1678606</v>
      </c>
      <c r="P18" s="6"/>
      <c r="Q18" s="7">
        <v>8300056429</v>
      </c>
    </row>
    <row r="19" spans="1:17" x14ac:dyDescent="0.25">
      <c r="A19" s="9">
        <v>46247</v>
      </c>
      <c r="B19" s="9">
        <v>46229</v>
      </c>
      <c r="C19" s="10">
        <v>22632196</v>
      </c>
      <c r="D19" s="10" t="s">
        <v>62</v>
      </c>
      <c r="E19" s="10" t="s">
        <v>17</v>
      </c>
      <c r="F19" s="10" t="s">
        <v>83</v>
      </c>
      <c r="G19" s="11">
        <v>43253021</v>
      </c>
      <c r="H19" s="10" t="s">
        <v>26</v>
      </c>
      <c r="I19" s="10" t="s">
        <v>20</v>
      </c>
      <c r="J19" s="11">
        <v>724651216</v>
      </c>
      <c r="K19" s="12">
        <v>318370</v>
      </c>
      <c r="L19" s="10" t="s">
        <v>84</v>
      </c>
      <c r="M19" s="10" t="s">
        <v>22</v>
      </c>
      <c r="N19" s="10" t="s">
        <v>85</v>
      </c>
      <c r="O19" s="11">
        <v>1679134</v>
      </c>
      <c r="P19" s="10"/>
      <c r="Q19" s="11">
        <v>8300056430</v>
      </c>
    </row>
    <row r="20" spans="1:17" x14ac:dyDescent="0.25">
      <c r="A20" s="5">
        <v>46247</v>
      </c>
      <c r="B20" s="5">
        <v>46229</v>
      </c>
      <c r="C20" s="6">
        <v>22632157</v>
      </c>
      <c r="D20" s="6" t="s">
        <v>62</v>
      </c>
      <c r="E20" s="6" t="s">
        <v>17</v>
      </c>
      <c r="F20" s="6" t="s">
        <v>86</v>
      </c>
      <c r="G20" s="7">
        <v>1070980909</v>
      </c>
      <c r="H20" s="6" t="s">
        <v>19</v>
      </c>
      <c r="I20" s="6" t="s">
        <v>20</v>
      </c>
      <c r="J20" s="7">
        <v>550488436564063</v>
      </c>
      <c r="K20" s="8">
        <v>324285</v>
      </c>
      <c r="L20" s="6" t="s">
        <v>87</v>
      </c>
      <c r="M20" s="6" t="s">
        <v>22</v>
      </c>
      <c r="N20" s="6" t="s">
        <v>88</v>
      </c>
      <c r="O20" s="7">
        <v>1678379</v>
      </c>
      <c r="P20" s="6"/>
      <c r="Q20" s="7">
        <v>8300056431</v>
      </c>
    </row>
    <row r="21" spans="1:17" x14ac:dyDescent="0.25">
      <c r="A21" s="9">
        <v>46247</v>
      </c>
      <c r="B21" s="9">
        <v>46234</v>
      </c>
      <c r="C21" s="10">
        <v>22634249</v>
      </c>
      <c r="D21" s="10" t="s">
        <v>62</v>
      </c>
      <c r="E21" s="10" t="s">
        <v>17</v>
      </c>
      <c r="F21" s="10" t="s">
        <v>97</v>
      </c>
      <c r="G21" s="11">
        <v>1039460061</v>
      </c>
      <c r="H21" s="10" t="s">
        <v>53</v>
      </c>
      <c r="I21" s="10" t="s">
        <v>20</v>
      </c>
      <c r="J21" s="11">
        <v>225084052</v>
      </c>
      <c r="K21" s="12">
        <v>134950</v>
      </c>
      <c r="L21" s="10" t="s">
        <v>98</v>
      </c>
      <c r="M21" s="10" t="s">
        <v>99</v>
      </c>
      <c r="N21" s="10" t="s">
        <v>100</v>
      </c>
      <c r="O21" s="11">
        <v>1680614</v>
      </c>
      <c r="P21" s="10"/>
      <c r="Q21" s="11">
        <v>8300056409</v>
      </c>
    </row>
    <row r="22" spans="1:17" x14ac:dyDescent="0.25">
      <c r="A22" s="5">
        <v>46247</v>
      </c>
      <c r="B22" s="5">
        <v>46228</v>
      </c>
      <c r="C22" s="6">
        <v>22631139</v>
      </c>
      <c r="D22" s="6" t="s">
        <v>62</v>
      </c>
      <c r="E22" s="6" t="s">
        <v>17</v>
      </c>
      <c r="F22" s="6" t="s">
        <v>90</v>
      </c>
      <c r="G22" s="7">
        <v>43286531</v>
      </c>
      <c r="H22" s="6" t="s">
        <v>19</v>
      </c>
      <c r="I22" s="6" t="s">
        <v>20</v>
      </c>
      <c r="J22" s="7">
        <v>488444101221</v>
      </c>
      <c r="K22" s="8">
        <v>174856</v>
      </c>
      <c r="L22" s="6" t="s">
        <v>76</v>
      </c>
      <c r="M22" s="6" t="s">
        <v>22</v>
      </c>
      <c r="N22" s="6" t="s">
        <v>101</v>
      </c>
      <c r="O22" s="7">
        <v>1679176</v>
      </c>
      <c r="P22" s="6"/>
      <c r="Q22" s="7">
        <v>8300056410</v>
      </c>
    </row>
    <row r="23" spans="1:17" x14ac:dyDescent="0.25">
      <c r="A23" s="9">
        <v>46247</v>
      </c>
      <c r="B23" s="9">
        <v>46232</v>
      </c>
      <c r="C23" s="10">
        <v>22633210</v>
      </c>
      <c r="D23" s="10" t="s">
        <v>62</v>
      </c>
      <c r="E23" s="10" t="s">
        <v>17</v>
      </c>
      <c r="F23" s="10" t="s">
        <v>102</v>
      </c>
      <c r="G23" s="11">
        <v>1088283418</v>
      </c>
      <c r="H23" s="10" t="s">
        <v>26</v>
      </c>
      <c r="I23" s="10" t="s">
        <v>20</v>
      </c>
      <c r="J23" s="11">
        <v>11572371699</v>
      </c>
      <c r="K23" s="12">
        <v>579900</v>
      </c>
      <c r="L23" s="10" t="s">
        <v>60</v>
      </c>
      <c r="M23" s="10" t="s">
        <v>22</v>
      </c>
      <c r="N23" s="10" t="s">
        <v>74</v>
      </c>
      <c r="O23" s="11">
        <v>1680070</v>
      </c>
      <c r="P23" s="10"/>
      <c r="Q23" s="11">
        <v>8300056413</v>
      </c>
    </row>
    <row r="24" spans="1:17" x14ac:dyDescent="0.25">
      <c r="A24" s="5">
        <v>46247</v>
      </c>
      <c r="B24" s="5">
        <v>46220</v>
      </c>
      <c r="C24" s="6">
        <v>22625199</v>
      </c>
      <c r="D24" s="6" t="s">
        <v>62</v>
      </c>
      <c r="E24" s="6" t="s">
        <v>89</v>
      </c>
      <c r="F24" s="6" t="s">
        <v>116</v>
      </c>
      <c r="G24" s="7">
        <v>43202740</v>
      </c>
      <c r="H24" s="6" t="s">
        <v>26</v>
      </c>
      <c r="I24" s="6" t="s">
        <v>20</v>
      </c>
      <c r="J24" s="7">
        <v>10812737077</v>
      </c>
      <c r="K24" s="8">
        <v>446270</v>
      </c>
      <c r="L24" s="6" t="s">
        <v>117</v>
      </c>
      <c r="M24" s="6" t="s">
        <v>118</v>
      </c>
      <c r="N24" s="6" t="s">
        <v>119</v>
      </c>
      <c r="O24" s="7">
        <v>1673455</v>
      </c>
      <c r="P24" s="6"/>
      <c r="Q24" s="7" t="s">
        <v>194</v>
      </c>
    </row>
    <row r="25" spans="1:17" x14ac:dyDescent="0.25">
      <c r="A25" s="9">
        <v>46247</v>
      </c>
      <c r="B25" s="9">
        <v>46186</v>
      </c>
      <c r="C25" s="10">
        <v>0</v>
      </c>
      <c r="D25" s="10" t="s">
        <v>62</v>
      </c>
      <c r="E25" s="10" t="s">
        <v>17</v>
      </c>
      <c r="F25" s="10" t="s">
        <v>173</v>
      </c>
      <c r="G25" s="11">
        <v>80374447</v>
      </c>
      <c r="H25" s="10" t="s">
        <v>19</v>
      </c>
      <c r="I25" s="10" t="s">
        <v>20</v>
      </c>
      <c r="J25" s="11">
        <v>1100076387</v>
      </c>
      <c r="K25" s="12">
        <v>26730</v>
      </c>
      <c r="L25" s="10" t="s">
        <v>117</v>
      </c>
      <c r="M25" s="10" t="s">
        <v>174</v>
      </c>
      <c r="N25" s="10" t="s">
        <v>175</v>
      </c>
      <c r="O25" s="11">
        <v>1634990</v>
      </c>
      <c r="P25" s="10"/>
      <c r="Q25" s="11">
        <v>8300056448</v>
      </c>
    </row>
    <row r="26" spans="1:17" x14ac:dyDescent="0.25">
      <c r="A26" s="5">
        <v>46234</v>
      </c>
      <c r="B26" s="5">
        <v>46201</v>
      </c>
      <c r="C26" s="6">
        <v>22611591</v>
      </c>
      <c r="D26" s="6" t="s">
        <v>62</v>
      </c>
      <c r="E26" s="6" t="s">
        <v>17</v>
      </c>
      <c r="F26" s="6" t="s">
        <v>208</v>
      </c>
      <c r="G26" s="7">
        <v>86063337</v>
      </c>
      <c r="H26" s="6" t="s">
        <v>19</v>
      </c>
      <c r="I26" s="6" t="s">
        <v>20</v>
      </c>
      <c r="J26" s="7">
        <v>2870579667</v>
      </c>
      <c r="K26" s="8">
        <v>156546</v>
      </c>
      <c r="L26" s="6" t="s">
        <v>87</v>
      </c>
      <c r="M26" s="6" t="s">
        <v>22</v>
      </c>
      <c r="N26" s="6" t="s">
        <v>209</v>
      </c>
      <c r="O26" s="7">
        <v>1657273</v>
      </c>
      <c r="P26" s="6"/>
      <c r="Q26" s="7">
        <v>8300055890</v>
      </c>
    </row>
    <row r="27" spans="1:17" x14ac:dyDescent="0.25">
      <c r="A27" s="9">
        <v>46247</v>
      </c>
      <c r="B27" s="9">
        <v>46222</v>
      </c>
      <c r="C27" s="10">
        <v>11693550</v>
      </c>
      <c r="D27" s="10" t="s">
        <v>51</v>
      </c>
      <c r="E27" s="10" t="s">
        <v>17</v>
      </c>
      <c r="F27" s="10" t="s">
        <v>52</v>
      </c>
      <c r="G27" s="11">
        <v>1073515147</v>
      </c>
      <c r="H27" s="10" t="s">
        <v>53</v>
      </c>
      <c r="I27" s="10" t="s">
        <v>20</v>
      </c>
      <c r="J27" s="11">
        <v>94660750</v>
      </c>
      <c r="K27" s="12">
        <v>161940</v>
      </c>
      <c r="L27" s="10" t="s">
        <v>44</v>
      </c>
      <c r="M27" s="10" t="s">
        <v>54</v>
      </c>
      <c r="N27" s="10" t="s">
        <v>55</v>
      </c>
      <c r="O27" s="11">
        <v>1682711</v>
      </c>
      <c r="P27" s="10"/>
      <c r="Q27" s="11">
        <v>8300056434</v>
      </c>
    </row>
    <row r="28" spans="1:17" x14ac:dyDescent="0.25">
      <c r="A28" s="5">
        <v>46247</v>
      </c>
      <c r="B28" s="5">
        <v>46227</v>
      </c>
      <c r="C28" s="6">
        <v>11695633</v>
      </c>
      <c r="D28" s="6" t="s">
        <v>51</v>
      </c>
      <c r="E28" s="6" t="s">
        <v>17</v>
      </c>
      <c r="F28" s="6" t="s">
        <v>56</v>
      </c>
      <c r="G28" s="7">
        <v>8778008</v>
      </c>
      <c r="H28" s="6" t="s">
        <v>19</v>
      </c>
      <c r="I28" s="6" t="s">
        <v>20</v>
      </c>
      <c r="J28" s="7">
        <v>488408119128</v>
      </c>
      <c r="K28" s="8">
        <v>69900</v>
      </c>
      <c r="L28" s="6" t="s">
        <v>57</v>
      </c>
      <c r="M28" s="6" t="s">
        <v>22</v>
      </c>
      <c r="N28" s="6" t="s">
        <v>58</v>
      </c>
      <c r="O28" s="7">
        <v>1677157</v>
      </c>
      <c r="P28" s="6"/>
      <c r="Q28" s="7">
        <v>8300056438</v>
      </c>
    </row>
    <row r="29" spans="1:17" x14ac:dyDescent="0.25">
      <c r="A29" s="9">
        <v>46247</v>
      </c>
      <c r="B29" s="9">
        <v>46228</v>
      </c>
      <c r="C29" s="10">
        <v>11696491</v>
      </c>
      <c r="D29" s="10" t="s">
        <v>51</v>
      </c>
      <c r="E29" s="10" t="s">
        <v>17</v>
      </c>
      <c r="F29" s="10" t="s">
        <v>59</v>
      </c>
      <c r="G29" s="11">
        <v>35461347</v>
      </c>
      <c r="H29" s="10" t="s">
        <v>19</v>
      </c>
      <c r="I29" s="10" t="s">
        <v>20</v>
      </c>
      <c r="J29" s="11">
        <v>7870020216</v>
      </c>
      <c r="K29" s="12">
        <v>289800</v>
      </c>
      <c r="L29" s="10" t="s">
        <v>60</v>
      </c>
      <c r="M29" s="10" t="s">
        <v>22</v>
      </c>
      <c r="N29" s="10" t="s">
        <v>61</v>
      </c>
      <c r="O29" s="11">
        <v>1680461</v>
      </c>
      <c r="P29" s="10"/>
      <c r="Q29" s="11">
        <v>8300056439</v>
      </c>
    </row>
    <row r="30" spans="1:17" x14ac:dyDescent="0.25">
      <c r="A30" s="5">
        <v>46247</v>
      </c>
      <c r="B30" s="5">
        <v>46228</v>
      </c>
      <c r="C30" s="6">
        <v>11696194</v>
      </c>
      <c r="D30" s="6" t="s">
        <v>51</v>
      </c>
      <c r="E30" s="6" t="s">
        <v>17</v>
      </c>
      <c r="F30" s="6" t="s">
        <v>66</v>
      </c>
      <c r="G30" s="7">
        <v>66932634</v>
      </c>
      <c r="H30" s="6" t="s">
        <v>26</v>
      </c>
      <c r="I30" s="6" t="s">
        <v>20</v>
      </c>
      <c r="J30" s="7">
        <v>74130682409</v>
      </c>
      <c r="K30" s="8">
        <v>157410</v>
      </c>
      <c r="L30" s="6" t="s">
        <v>44</v>
      </c>
      <c r="M30" s="6" t="s">
        <v>22</v>
      </c>
      <c r="N30" s="6" t="s">
        <v>67</v>
      </c>
      <c r="O30" s="7">
        <v>1680773</v>
      </c>
      <c r="P30" s="6"/>
      <c r="Q30" s="7">
        <v>8300056420</v>
      </c>
    </row>
    <row r="31" spans="1:17" x14ac:dyDescent="0.25">
      <c r="A31" s="9">
        <v>46247</v>
      </c>
      <c r="B31" s="9">
        <v>46222</v>
      </c>
      <c r="C31" s="10">
        <v>11693243</v>
      </c>
      <c r="D31" s="10" t="s">
        <v>51</v>
      </c>
      <c r="E31" s="10" t="s">
        <v>17</v>
      </c>
      <c r="F31" s="10" t="s">
        <v>68</v>
      </c>
      <c r="G31" s="11">
        <v>32783231</v>
      </c>
      <c r="H31" s="10" t="s">
        <v>69</v>
      </c>
      <c r="I31" s="10" t="s">
        <v>20</v>
      </c>
      <c r="J31" s="11">
        <v>24506040045</v>
      </c>
      <c r="K31" s="12">
        <v>298665</v>
      </c>
      <c r="L31" s="10" t="s">
        <v>70</v>
      </c>
      <c r="M31" s="10" t="s">
        <v>22</v>
      </c>
      <c r="N31" s="10" t="s">
        <v>71</v>
      </c>
      <c r="O31" s="11">
        <v>1679795</v>
      </c>
      <c r="P31" s="10"/>
      <c r="Q31" s="11">
        <v>8300056421</v>
      </c>
    </row>
    <row r="32" spans="1:17" x14ac:dyDescent="0.25">
      <c r="A32" s="5">
        <v>46247</v>
      </c>
      <c r="B32" s="5">
        <v>46219</v>
      </c>
      <c r="C32" s="6">
        <v>11691383</v>
      </c>
      <c r="D32" s="6" t="s">
        <v>51</v>
      </c>
      <c r="E32" s="6" t="s">
        <v>17</v>
      </c>
      <c r="F32" s="6" t="s">
        <v>72</v>
      </c>
      <c r="G32" s="7">
        <v>1042351000</v>
      </c>
      <c r="H32" s="6" t="s">
        <v>53</v>
      </c>
      <c r="I32" s="6" t="s">
        <v>20</v>
      </c>
      <c r="J32" s="7">
        <v>292990637</v>
      </c>
      <c r="K32" s="8">
        <v>149940</v>
      </c>
      <c r="L32" s="6" t="s">
        <v>73</v>
      </c>
      <c r="M32" s="6" t="s">
        <v>22</v>
      </c>
      <c r="N32" s="6" t="s">
        <v>39</v>
      </c>
      <c r="O32" s="7">
        <v>1674870</v>
      </c>
      <c r="P32" s="6"/>
      <c r="Q32" s="7">
        <v>8300056422</v>
      </c>
    </row>
    <row r="33" spans="1:17" x14ac:dyDescent="0.25">
      <c r="A33" s="9">
        <v>46247</v>
      </c>
      <c r="B33" s="9">
        <v>46224</v>
      </c>
      <c r="C33" s="10">
        <v>11694223</v>
      </c>
      <c r="D33" s="10" t="s">
        <v>51</v>
      </c>
      <c r="E33" s="10" t="s">
        <v>17</v>
      </c>
      <c r="F33" s="10" t="s">
        <v>72</v>
      </c>
      <c r="G33" s="11">
        <v>1042351000</v>
      </c>
      <c r="H33" s="10" t="s">
        <v>53</v>
      </c>
      <c r="I33" s="10" t="s">
        <v>20</v>
      </c>
      <c r="J33" s="11">
        <v>292990637</v>
      </c>
      <c r="K33" s="12">
        <v>129546</v>
      </c>
      <c r="L33" s="10" t="s">
        <v>60</v>
      </c>
      <c r="M33" s="10" t="s">
        <v>22</v>
      </c>
      <c r="N33" s="10" t="s">
        <v>74</v>
      </c>
      <c r="O33" s="11">
        <v>1675042</v>
      </c>
      <c r="P33" s="10"/>
      <c r="Q33" s="11">
        <v>8300056423</v>
      </c>
    </row>
    <row r="34" spans="1:17" x14ac:dyDescent="0.25">
      <c r="A34" s="5">
        <v>46247</v>
      </c>
      <c r="B34" s="5">
        <v>46226</v>
      </c>
      <c r="C34" s="6">
        <v>11695038</v>
      </c>
      <c r="D34" s="6" t="s">
        <v>51</v>
      </c>
      <c r="E34" s="6" t="s">
        <v>89</v>
      </c>
      <c r="F34" s="6" t="s">
        <v>90</v>
      </c>
      <c r="G34" s="7">
        <v>43286531</v>
      </c>
      <c r="H34" s="6" t="s">
        <v>19</v>
      </c>
      <c r="I34" s="6" t="s">
        <v>20</v>
      </c>
      <c r="J34" s="7">
        <v>488444101221</v>
      </c>
      <c r="K34" s="8">
        <v>125955</v>
      </c>
      <c r="L34" s="6" t="s">
        <v>76</v>
      </c>
      <c r="M34" s="6" t="s">
        <v>22</v>
      </c>
      <c r="N34" s="6" t="s">
        <v>91</v>
      </c>
      <c r="O34" s="7">
        <v>1678573</v>
      </c>
      <c r="P34" s="6"/>
      <c r="Q34" s="7">
        <v>8300056406</v>
      </c>
    </row>
    <row r="35" spans="1:17" x14ac:dyDescent="0.25">
      <c r="A35" s="9">
        <v>46247</v>
      </c>
      <c r="B35" s="9">
        <v>46228</v>
      </c>
      <c r="C35" s="10">
        <v>11696204</v>
      </c>
      <c r="D35" s="10" t="s">
        <v>51</v>
      </c>
      <c r="E35" s="10" t="s">
        <v>14</v>
      </c>
      <c r="F35" s="10" t="s">
        <v>216</v>
      </c>
      <c r="G35" s="11">
        <v>36536728</v>
      </c>
      <c r="H35" s="10" t="s">
        <v>26</v>
      </c>
      <c r="I35" s="10" t="s">
        <v>20</v>
      </c>
      <c r="J35" s="11">
        <v>91249302398</v>
      </c>
      <c r="K35" s="12">
        <v>89954</v>
      </c>
      <c r="L35" s="10" t="s">
        <v>48</v>
      </c>
      <c r="M35" s="10" t="s">
        <v>22</v>
      </c>
      <c r="N35" s="10" t="s">
        <v>49</v>
      </c>
      <c r="O35" s="11">
        <v>1677655</v>
      </c>
      <c r="P35" s="10"/>
      <c r="Q35" s="11">
        <v>8300056407</v>
      </c>
    </row>
    <row r="36" spans="1:17" x14ac:dyDescent="0.25">
      <c r="A36" s="5">
        <v>46247</v>
      </c>
      <c r="B36" s="5">
        <v>46221</v>
      </c>
      <c r="C36" s="6">
        <v>11692891</v>
      </c>
      <c r="D36" s="6" t="s">
        <v>51</v>
      </c>
      <c r="E36" s="6" t="s">
        <v>14</v>
      </c>
      <c r="F36" s="6" t="s">
        <v>217</v>
      </c>
      <c r="G36" s="7">
        <v>55180125</v>
      </c>
      <c r="H36" s="6" t="s">
        <v>26</v>
      </c>
      <c r="I36" s="6" t="s">
        <v>20</v>
      </c>
      <c r="J36" s="7">
        <v>20195454859</v>
      </c>
      <c r="K36" s="8">
        <v>85455</v>
      </c>
      <c r="L36" s="6" t="s">
        <v>87</v>
      </c>
      <c r="M36" s="6" t="s">
        <v>22</v>
      </c>
      <c r="N36" s="6" t="s">
        <v>111</v>
      </c>
      <c r="O36" s="7">
        <v>1674703</v>
      </c>
      <c r="P36" s="6"/>
      <c r="Q36" s="7">
        <v>8300056405</v>
      </c>
    </row>
    <row r="37" spans="1:17" x14ac:dyDescent="0.25">
      <c r="A37" s="9">
        <v>46247</v>
      </c>
      <c r="B37" s="9">
        <v>46204</v>
      </c>
      <c r="C37" s="10">
        <v>11684959</v>
      </c>
      <c r="D37" s="10" t="s">
        <v>51</v>
      </c>
      <c r="E37" s="10" t="s">
        <v>14</v>
      </c>
      <c r="F37" s="10" t="s">
        <v>178</v>
      </c>
      <c r="G37" s="11">
        <v>42087852</v>
      </c>
      <c r="H37" s="10" t="s">
        <v>26</v>
      </c>
      <c r="I37" s="10" t="s">
        <v>20</v>
      </c>
      <c r="J37" s="11">
        <v>85200045390</v>
      </c>
      <c r="K37" s="12">
        <v>113337</v>
      </c>
      <c r="L37" s="10" t="s">
        <v>60</v>
      </c>
      <c r="M37" s="10" t="s">
        <v>159</v>
      </c>
      <c r="N37" s="10" t="s">
        <v>179</v>
      </c>
      <c r="O37" s="11">
        <v>1659772</v>
      </c>
      <c r="P37" s="10"/>
      <c r="Q37" s="11">
        <v>8300056399</v>
      </c>
    </row>
    <row r="38" spans="1:17" x14ac:dyDescent="0.25">
      <c r="A38" s="5">
        <v>46247</v>
      </c>
      <c r="B38" s="5">
        <v>46232</v>
      </c>
      <c r="C38" s="6" t="s">
        <v>180</v>
      </c>
      <c r="D38" s="6" t="s">
        <v>51</v>
      </c>
      <c r="E38" s="6" t="s">
        <v>17</v>
      </c>
      <c r="F38" s="6" t="s">
        <v>181</v>
      </c>
      <c r="G38" s="7">
        <v>1098808813</v>
      </c>
      <c r="H38" s="6" t="s">
        <v>26</v>
      </c>
      <c r="I38" s="6" t="s">
        <v>20</v>
      </c>
      <c r="J38" s="7">
        <v>29170074414</v>
      </c>
      <c r="K38" s="8">
        <v>119950</v>
      </c>
      <c r="L38" s="6" t="s">
        <v>44</v>
      </c>
      <c r="M38" s="6" t="s">
        <v>22</v>
      </c>
      <c r="N38" s="6" t="s">
        <v>67</v>
      </c>
      <c r="O38" s="7">
        <v>1682734</v>
      </c>
      <c r="P38" s="6"/>
      <c r="Q38" s="7">
        <v>8300056437</v>
      </c>
    </row>
    <row r="39" spans="1:17" x14ac:dyDescent="0.25">
      <c r="A39" s="9">
        <v>46247</v>
      </c>
      <c r="B39" s="9">
        <v>46233</v>
      </c>
      <c r="C39" s="10" t="s">
        <v>189</v>
      </c>
      <c r="D39" s="10" t="s">
        <v>51</v>
      </c>
      <c r="E39" s="10" t="s">
        <v>89</v>
      </c>
      <c r="F39" s="10" t="s">
        <v>218</v>
      </c>
      <c r="G39" s="11">
        <v>1079655739</v>
      </c>
      <c r="H39" s="10" t="s">
        <v>26</v>
      </c>
      <c r="I39" s="10" t="s">
        <v>20</v>
      </c>
      <c r="J39" s="11">
        <v>8800006419</v>
      </c>
      <c r="K39" s="12">
        <v>62955</v>
      </c>
      <c r="L39" s="10" t="s">
        <v>146</v>
      </c>
      <c r="M39" s="10" t="s">
        <v>163</v>
      </c>
      <c r="N39" s="10" t="s">
        <v>190</v>
      </c>
      <c r="O39" s="11">
        <v>1685915</v>
      </c>
      <c r="P39" s="10"/>
      <c r="Q39" s="11">
        <v>8300056445</v>
      </c>
    </row>
    <row r="40" spans="1:17" x14ac:dyDescent="0.25">
      <c r="A40" s="5">
        <v>46247</v>
      </c>
      <c r="B40" s="5">
        <v>46238</v>
      </c>
      <c r="C40" s="6" t="s">
        <v>191</v>
      </c>
      <c r="D40" s="6" t="s">
        <v>51</v>
      </c>
      <c r="E40" s="6" t="s">
        <v>192</v>
      </c>
      <c r="F40" s="6" t="s">
        <v>193</v>
      </c>
      <c r="G40" s="7">
        <v>1026139518</v>
      </c>
      <c r="H40" s="6" t="s">
        <v>26</v>
      </c>
      <c r="I40" s="6" t="s">
        <v>20</v>
      </c>
      <c r="J40" s="7">
        <v>37544111982</v>
      </c>
      <c r="K40" s="8">
        <v>79960</v>
      </c>
      <c r="L40" s="6" t="s">
        <v>57</v>
      </c>
      <c r="M40" s="6" t="s">
        <v>163</v>
      </c>
      <c r="N40" s="6" t="s">
        <v>124</v>
      </c>
      <c r="O40" s="7">
        <v>1684427</v>
      </c>
      <c r="P40" s="6"/>
      <c r="Q40" s="7">
        <v>8300056447</v>
      </c>
    </row>
    <row r="41" spans="1:17" x14ac:dyDescent="0.25">
      <c r="A41" s="9">
        <v>46232</v>
      </c>
      <c r="B41" s="9">
        <v>46211</v>
      </c>
      <c r="C41" s="10">
        <v>11688247</v>
      </c>
      <c r="D41" s="10" t="s">
        <v>51</v>
      </c>
      <c r="E41" s="10" t="s">
        <v>17</v>
      </c>
      <c r="F41" s="10" t="s">
        <v>198</v>
      </c>
      <c r="G41" s="11">
        <v>64744850</v>
      </c>
      <c r="H41" s="10" t="s">
        <v>115</v>
      </c>
      <c r="I41" s="10" t="s">
        <v>20</v>
      </c>
      <c r="J41" s="11">
        <v>488363144</v>
      </c>
      <c r="K41" s="12">
        <v>83960</v>
      </c>
      <c r="L41" s="10" t="s">
        <v>44</v>
      </c>
      <c r="M41" s="10" t="s">
        <v>22</v>
      </c>
      <c r="N41" s="10" t="s">
        <v>67</v>
      </c>
      <c r="O41" s="11">
        <v>1665802</v>
      </c>
      <c r="P41" s="10"/>
      <c r="Q41" s="11">
        <v>8300055811</v>
      </c>
    </row>
    <row r="42" spans="1:17" x14ac:dyDescent="0.25">
      <c r="A42" s="5">
        <v>46232</v>
      </c>
      <c r="B42" s="5">
        <v>46210</v>
      </c>
      <c r="C42" s="6">
        <v>11687712</v>
      </c>
      <c r="D42" s="6" t="s">
        <v>51</v>
      </c>
      <c r="E42" s="6" t="s">
        <v>17</v>
      </c>
      <c r="F42" s="6" t="s">
        <v>199</v>
      </c>
      <c r="G42" s="7">
        <v>33167687</v>
      </c>
      <c r="H42" s="6" t="s">
        <v>19</v>
      </c>
      <c r="I42" s="6" t="s">
        <v>20</v>
      </c>
      <c r="J42" s="7">
        <v>550206200079856</v>
      </c>
      <c r="K42" s="8">
        <v>83960</v>
      </c>
      <c r="L42" s="6" t="s">
        <v>44</v>
      </c>
      <c r="M42" s="6" t="s">
        <v>22</v>
      </c>
      <c r="N42" s="6" t="s">
        <v>67</v>
      </c>
      <c r="O42" s="7">
        <v>1666029</v>
      </c>
      <c r="P42" s="6"/>
      <c r="Q42" s="7">
        <v>8300055812</v>
      </c>
    </row>
    <row r="43" spans="1:17" x14ac:dyDescent="0.25">
      <c r="A43" s="9">
        <v>46247</v>
      </c>
      <c r="B43" s="9">
        <v>46234</v>
      </c>
      <c r="C43" s="10" t="s">
        <v>120</v>
      </c>
      <c r="D43" s="10" t="s">
        <v>42</v>
      </c>
      <c r="E43" s="10" t="s">
        <v>17</v>
      </c>
      <c r="F43" s="10" t="s">
        <v>219</v>
      </c>
      <c r="G43" s="11">
        <v>46661822</v>
      </c>
      <c r="H43" s="10" t="s">
        <v>26</v>
      </c>
      <c r="I43" s="10" t="s">
        <v>20</v>
      </c>
      <c r="J43" s="11">
        <v>26263239295</v>
      </c>
      <c r="K43" s="12">
        <v>579800</v>
      </c>
      <c r="L43" s="10" t="s">
        <v>84</v>
      </c>
      <c r="M43" s="10" t="s">
        <v>22</v>
      </c>
      <c r="N43" s="10" t="s">
        <v>85</v>
      </c>
      <c r="O43" s="11">
        <v>1681846</v>
      </c>
      <c r="P43" s="10"/>
      <c r="Q43" s="11">
        <v>8300056442</v>
      </c>
    </row>
    <row r="44" spans="1:17" x14ac:dyDescent="0.25">
      <c r="A44" s="5">
        <v>46247</v>
      </c>
      <c r="B44" s="5">
        <v>46225</v>
      </c>
      <c r="C44" s="6" t="s">
        <v>121</v>
      </c>
      <c r="D44" s="6" t="s">
        <v>42</v>
      </c>
      <c r="E44" s="6" t="s">
        <v>17</v>
      </c>
      <c r="F44" s="6" t="s">
        <v>122</v>
      </c>
      <c r="G44" s="7">
        <v>1057602478</v>
      </c>
      <c r="H44" s="6" t="s">
        <v>115</v>
      </c>
      <c r="I44" s="6" t="s">
        <v>20</v>
      </c>
      <c r="J44" s="7">
        <v>726003633</v>
      </c>
      <c r="K44" s="8">
        <v>79900</v>
      </c>
      <c r="L44" s="6" t="s">
        <v>57</v>
      </c>
      <c r="M44" s="6" t="s">
        <v>123</v>
      </c>
      <c r="N44" s="6" t="s">
        <v>124</v>
      </c>
      <c r="O44" s="7">
        <v>1678857</v>
      </c>
      <c r="P44" s="6"/>
      <c r="Q44" s="7">
        <v>8300056432</v>
      </c>
    </row>
    <row r="45" spans="1:17" x14ac:dyDescent="0.25">
      <c r="A45" s="9">
        <v>46247</v>
      </c>
      <c r="B45" s="9">
        <v>46236</v>
      </c>
      <c r="C45" s="10" t="s">
        <v>125</v>
      </c>
      <c r="D45" s="10" t="s">
        <v>42</v>
      </c>
      <c r="E45" s="10" t="s">
        <v>17</v>
      </c>
      <c r="F45" s="10" t="s">
        <v>126</v>
      </c>
      <c r="G45" s="11">
        <v>42892191</v>
      </c>
      <c r="H45" s="10" t="s">
        <v>26</v>
      </c>
      <c r="I45" s="10" t="s">
        <v>20</v>
      </c>
      <c r="J45" s="11">
        <v>10270117982</v>
      </c>
      <c r="K45" s="12">
        <v>179901</v>
      </c>
      <c r="L45" s="10" t="s">
        <v>109</v>
      </c>
      <c r="M45" s="10" t="s">
        <v>22</v>
      </c>
      <c r="N45" s="10" t="s">
        <v>127</v>
      </c>
      <c r="O45" s="11">
        <v>1683087</v>
      </c>
      <c r="P45" s="10"/>
      <c r="Q45" s="11">
        <v>8300056435</v>
      </c>
    </row>
    <row r="46" spans="1:17" x14ac:dyDescent="0.25">
      <c r="A46" s="5">
        <v>46247</v>
      </c>
      <c r="B46" s="5">
        <v>46232</v>
      </c>
      <c r="C46" s="6" t="s">
        <v>128</v>
      </c>
      <c r="D46" s="6" t="s">
        <v>42</v>
      </c>
      <c r="E46" s="6" t="s">
        <v>17</v>
      </c>
      <c r="F46" s="6" t="s">
        <v>129</v>
      </c>
      <c r="G46" s="7">
        <v>32939973</v>
      </c>
      <c r="H46" s="6" t="s">
        <v>19</v>
      </c>
      <c r="I46" s="6" t="s">
        <v>20</v>
      </c>
      <c r="J46" s="7">
        <v>57300109717</v>
      </c>
      <c r="K46" s="8">
        <v>539799</v>
      </c>
      <c r="L46" s="6" t="s">
        <v>60</v>
      </c>
      <c r="M46" s="6" t="s">
        <v>22</v>
      </c>
      <c r="N46" s="6" t="s">
        <v>130</v>
      </c>
      <c r="O46" s="7">
        <v>1680126</v>
      </c>
      <c r="P46" s="6"/>
      <c r="Q46" s="7">
        <v>8300056436</v>
      </c>
    </row>
    <row r="47" spans="1:17" x14ac:dyDescent="0.25">
      <c r="A47" s="9">
        <v>46247</v>
      </c>
      <c r="B47" s="9">
        <v>46217</v>
      </c>
      <c r="C47" s="10" t="s">
        <v>131</v>
      </c>
      <c r="D47" s="10" t="s">
        <v>42</v>
      </c>
      <c r="E47" s="10" t="s">
        <v>17</v>
      </c>
      <c r="F47" s="10" t="s">
        <v>132</v>
      </c>
      <c r="G47" s="11">
        <v>80655495</v>
      </c>
      <c r="H47" s="10" t="s">
        <v>19</v>
      </c>
      <c r="I47" s="10" t="s">
        <v>20</v>
      </c>
      <c r="J47" s="11">
        <v>570002870178734</v>
      </c>
      <c r="K47" s="12">
        <v>299900</v>
      </c>
      <c r="L47" s="10" t="s">
        <v>76</v>
      </c>
      <c r="M47" s="10" t="s">
        <v>22</v>
      </c>
      <c r="N47" s="10" t="s">
        <v>133</v>
      </c>
      <c r="O47" s="11">
        <v>1667038</v>
      </c>
      <c r="P47" s="10"/>
      <c r="Q47" s="11">
        <v>8300056424</v>
      </c>
    </row>
    <row r="48" spans="1:17" x14ac:dyDescent="0.25">
      <c r="A48" s="5">
        <v>46247</v>
      </c>
      <c r="B48" s="5">
        <v>46227</v>
      </c>
      <c r="C48" s="6" t="s">
        <v>134</v>
      </c>
      <c r="D48" s="6" t="s">
        <v>42</v>
      </c>
      <c r="E48" s="6" t="s">
        <v>17</v>
      </c>
      <c r="F48" s="6" t="s">
        <v>135</v>
      </c>
      <c r="G48" s="7">
        <v>1065006987</v>
      </c>
      <c r="H48" s="6" t="s">
        <v>115</v>
      </c>
      <c r="I48" s="6" t="s">
        <v>20</v>
      </c>
      <c r="J48" s="7">
        <v>91201210271</v>
      </c>
      <c r="K48" s="8">
        <v>939700</v>
      </c>
      <c r="L48" s="6" t="s">
        <v>84</v>
      </c>
      <c r="M48" s="6" t="s">
        <v>22</v>
      </c>
      <c r="N48" s="6" t="s">
        <v>136</v>
      </c>
      <c r="O48" s="7">
        <v>1680517</v>
      </c>
      <c r="P48" s="6"/>
      <c r="Q48" s="7">
        <v>8300056425</v>
      </c>
    </row>
    <row r="49" spans="1:17" x14ac:dyDescent="0.25">
      <c r="A49" s="9">
        <v>46247</v>
      </c>
      <c r="B49" s="9">
        <v>46226</v>
      </c>
      <c r="C49" s="10" t="s">
        <v>137</v>
      </c>
      <c r="D49" s="10" t="s">
        <v>42</v>
      </c>
      <c r="E49" s="10" t="s">
        <v>17</v>
      </c>
      <c r="F49" s="10" t="s">
        <v>138</v>
      </c>
      <c r="G49" s="11">
        <v>1088244905</v>
      </c>
      <c r="H49" s="10" t="s">
        <v>26</v>
      </c>
      <c r="I49" s="10" t="s">
        <v>20</v>
      </c>
      <c r="J49" s="11">
        <v>70605713744</v>
      </c>
      <c r="K49" s="12">
        <v>139900</v>
      </c>
      <c r="L49" s="10" t="s">
        <v>117</v>
      </c>
      <c r="M49" s="10" t="s">
        <v>22</v>
      </c>
      <c r="N49" s="10" t="s">
        <v>139</v>
      </c>
      <c r="O49" s="11">
        <v>1678661</v>
      </c>
      <c r="P49" s="10"/>
      <c r="Q49" s="11">
        <v>8300056426</v>
      </c>
    </row>
    <row r="50" spans="1:17" x14ac:dyDescent="0.25">
      <c r="A50" s="5">
        <v>46247</v>
      </c>
      <c r="B50" s="5">
        <v>46229</v>
      </c>
      <c r="C50" s="6" t="s">
        <v>140</v>
      </c>
      <c r="D50" s="6" t="s">
        <v>42</v>
      </c>
      <c r="E50" s="6" t="s">
        <v>17</v>
      </c>
      <c r="F50" s="6" t="s">
        <v>141</v>
      </c>
      <c r="G50" s="7">
        <v>1036604044</v>
      </c>
      <c r="H50" s="6" t="s">
        <v>26</v>
      </c>
      <c r="I50" s="6" t="s">
        <v>20</v>
      </c>
      <c r="J50" s="7">
        <v>25818387736</v>
      </c>
      <c r="K50" s="8">
        <v>539701</v>
      </c>
      <c r="L50" s="6" t="s">
        <v>78</v>
      </c>
      <c r="M50" s="6" t="s">
        <v>22</v>
      </c>
      <c r="N50" s="6" t="s">
        <v>82</v>
      </c>
      <c r="O50" s="7">
        <v>1679852</v>
      </c>
      <c r="P50" s="6"/>
      <c r="Q50" s="7">
        <v>8300056411</v>
      </c>
    </row>
    <row r="51" spans="1:17" x14ac:dyDescent="0.25">
      <c r="A51" s="9">
        <v>46247</v>
      </c>
      <c r="B51" s="9">
        <v>46224</v>
      </c>
      <c r="C51" s="10" t="s">
        <v>142</v>
      </c>
      <c r="D51" s="10" t="s">
        <v>42</v>
      </c>
      <c r="E51" s="10" t="s">
        <v>14</v>
      </c>
      <c r="F51" s="10" t="s">
        <v>143</v>
      </c>
      <c r="G51" s="11">
        <v>52517774</v>
      </c>
      <c r="H51" s="10" t="s">
        <v>19</v>
      </c>
      <c r="I51" s="10" t="s">
        <v>20</v>
      </c>
      <c r="J51" s="11">
        <v>7270667285</v>
      </c>
      <c r="K51" s="12">
        <v>859500</v>
      </c>
      <c r="L51" s="10" t="s">
        <v>109</v>
      </c>
      <c r="M51" s="10" t="s">
        <v>22</v>
      </c>
      <c r="N51" s="10" t="s">
        <v>127</v>
      </c>
      <c r="O51" s="11">
        <v>1678531</v>
      </c>
      <c r="P51" s="10"/>
      <c r="Q51" s="11">
        <v>8300056412</v>
      </c>
    </row>
    <row r="52" spans="1:17" x14ac:dyDescent="0.25">
      <c r="A52" s="5">
        <v>46247</v>
      </c>
      <c r="B52" s="5">
        <v>46227</v>
      </c>
      <c r="C52" s="6" t="s">
        <v>144</v>
      </c>
      <c r="D52" s="6" t="s">
        <v>42</v>
      </c>
      <c r="E52" s="6" t="s">
        <v>17</v>
      </c>
      <c r="F52" s="6" t="s">
        <v>145</v>
      </c>
      <c r="G52" s="7">
        <v>52730490</v>
      </c>
      <c r="H52" s="6" t="s">
        <v>26</v>
      </c>
      <c r="I52" s="6" t="s">
        <v>20</v>
      </c>
      <c r="J52" s="7">
        <v>20588670634</v>
      </c>
      <c r="K52" s="8">
        <v>159900</v>
      </c>
      <c r="L52" s="6" t="s">
        <v>146</v>
      </c>
      <c r="M52" s="6" t="s">
        <v>22</v>
      </c>
      <c r="N52" s="6" t="s">
        <v>147</v>
      </c>
      <c r="O52" s="7">
        <v>1679194</v>
      </c>
      <c r="P52" s="6"/>
      <c r="Q52" s="7">
        <v>8300056414</v>
      </c>
    </row>
    <row r="53" spans="1:17" x14ac:dyDescent="0.25">
      <c r="A53" s="9">
        <v>46247</v>
      </c>
      <c r="B53" s="9">
        <v>46233</v>
      </c>
      <c r="C53" s="10" t="s">
        <v>148</v>
      </c>
      <c r="D53" s="10" t="s">
        <v>42</v>
      </c>
      <c r="E53" s="10" t="s">
        <v>17</v>
      </c>
      <c r="F53" s="10" t="s">
        <v>102</v>
      </c>
      <c r="G53" s="11">
        <v>1088283418</v>
      </c>
      <c r="H53" s="10" t="s">
        <v>26</v>
      </c>
      <c r="I53" s="10" t="s">
        <v>20</v>
      </c>
      <c r="J53" s="11">
        <v>11572371699</v>
      </c>
      <c r="K53" s="12">
        <v>79900</v>
      </c>
      <c r="L53" s="10" t="s">
        <v>87</v>
      </c>
      <c r="M53" s="10" t="s">
        <v>22</v>
      </c>
      <c r="N53" s="10" t="s">
        <v>149</v>
      </c>
      <c r="O53" s="11">
        <v>1680447</v>
      </c>
      <c r="P53" s="10"/>
      <c r="Q53" s="11">
        <v>8300056415</v>
      </c>
    </row>
    <row r="54" spans="1:17" x14ac:dyDescent="0.25">
      <c r="A54" s="5">
        <v>46247</v>
      </c>
      <c r="B54" s="5">
        <v>46204</v>
      </c>
      <c r="C54" s="6" t="s">
        <v>150</v>
      </c>
      <c r="D54" s="6" t="s">
        <v>42</v>
      </c>
      <c r="E54" s="6" t="s">
        <v>17</v>
      </c>
      <c r="F54" s="6" t="s">
        <v>151</v>
      </c>
      <c r="G54" s="7">
        <v>55182763</v>
      </c>
      <c r="H54" s="6" t="s">
        <v>115</v>
      </c>
      <c r="I54" s="6" t="s">
        <v>20</v>
      </c>
      <c r="J54" s="7">
        <v>361157316</v>
      </c>
      <c r="K54" s="8">
        <v>469800</v>
      </c>
      <c r="L54" s="6" t="s">
        <v>152</v>
      </c>
      <c r="M54" s="6" t="s">
        <v>123</v>
      </c>
      <c r="N54" s="6" t="s">
        <v>153</v>
      </c>
      <c r="O54" s="7">
        <v>1660930</v>
      </c>
      <c r="P54" s="6"/>
      <c r="Q54" s="7">
        <v>8300056403</v>
      </c>
    </row>
    <row r="55" spans="1:17" x14ac:dyDescent="0.25">
      <c r="A55" s="9">
        <v>46247</v>
      </c>
      <c r="B55" s="9">
        <v>46214</v>
      </c>
      <c r="C55" s="10" t="s">
        <v>154</v>
      </c>
      <c r="D55" s="10" t="s">
        <v>42</v>
      </c>
      <c r="E55" s="10" t="s">
        <v>17</v>
      </c>
      <c r="F55" s="10" t="s">
        <v>155</v>
      </c>
      <c r="G55" s="11">
        <v>60449376</v>
      </c>
      <c r="H55" s="10" t="s">
        <v>26</v>
      </c>
      <c r="I55" s="10" t="s">
        <v>20</v>
      </c>
      <c r="J55" s="11">
        <v>81648420005</v>
      </c>
      <c r="K55" s="12">
        <v>349900</v>
      </c>
      <c r="L55" s="10" t="s">
        <v>117</v>
      </c>
      <c r="M55" s="10" t="s">
        <v>123</v>
      </c>
      <c r="N55" s="10" t="s">
        <v>156</v>
      </c>
      <c r="O55" s="11">
        <v>1668772</v>
      </c>
      <c r="P55" s="10"/>
      <c r="Q55" s="11">
        <v>8300056400</v>
      </c>
    </row>
    <row r="56" spans="1:17" x14ac:dyDescent="0.25">
      <c r="A56" s="5">
        <v>46247</v>
      </c>
      <c r="B56" s="5">
        <v>46200</v>
      </c>
      <c r="C56" s="6" t="s">
        <v>168</v>
      </c>
      <c r="D56" s="6" t="s">
        <v>42</v>
      </c>
      <c r="E56" s="6" t="s">
        <v>107</v>
      </c>
      <c r="F56" s="6" t="s">
        <v>169</v>
      </c>
      <c r="G56" s="7">
        <v>40770321</v>
      </c>
      <c r="H56" s="6" t="s">
        <v>19</v>
      </c>
      <c r="I56" s="6" t="s">
        <v>20</v>
      </c>
      <c r="J56" s="7">
        <v>550078100067996</v>
      </c>
      <c r="K56" s="8">
        <v>113899</v>
      </c>
      <c r="L56" s="6" t="s">
        <v>170</v>
      </c>
      <c r="M56" s="6" t="s">
        <v>171</v>
      </c>
      <c r="N56" s="6" t="s">
        <v>172</v>
      </c>
      <c r="O56" s="7">
        <v>1661381</v>
      </c>
      <c r="P56" s="6"/>
      <c r="Q56" s="7">
        <v>8300056449</v>
      </c>
    </row>
    <row r="57" spans="1:17" x14ac:dyDescent="0.25">
      <c r="A57" s="9">
        <v>46247</v>
      </c>
      <c r="B57" s="9">
        <v>46240</v>
      </c>
      <c r="C57" s="10">
        <v>27223</v>
      </c>
      <c r="D57" s="10" t="s">
        <v>42</v>
      </c>
      <c r="E57" s="10" t="s">
        <v>17</v>
      </c>
      <c r="F57" s="10" t="s">
        <v>187</v>
      </c>
      <c r="G57" s="11">
        <v>41500948</v>
      </c>
      <c r="H57" s="10" t="s">
        <v>26</v>
      </c>
      <c r="I57" s="10" t="s">
        <v>20</v>
      </c>
      <c r="J57" s="11">
        <v>18980072998</v>
      </c>
      <c r="K57" s="12">
        <v>254915</v>
      </c>
      <c r="L57" s="10" t="s">
        <v>35</v>
      </c>
      <c r="M57" s="10" t="s">
        <v>185</v>
      </c>
      <c r="N57" s="10" t="s">
        <v>188</v>
      </c>
      <c r="O57" s="11">
        <v>1683999</v>
      </c>
      <c r="P57" s="10"/>
      <c r="Q57" s="11">
        <v>5903010418</v>
      </c>
    </row>
    <row r="58" spans="1:17" x14ac:dyDescent="0.25">
      <c r="A58" s="5">
        <v>46247</v>
      </c>
      <c r="B58" s="5">
        <v>46205</v>
      </c>
      <c r="C58" s="6">
        <v>271083</v>
      </c>
      <c r="D58" s="6" t="s">
        <v>42</v>
      </c>
      <c r="E58" s="6" t="s">
        <v>17</v>
      </c>
      <c r="F58" s="6" t="s">
        <v>43</v>
      </c>
      <c r="G58" s="7">
        <v>41727686</v>
      </c>
      <c r="H58" s="6" t="s">
        <v>26</v>
      </c>
      <c r="I58" s="6" t="s">
        <v>20</v>
      </c>
      <c r="J58" s="7">
        <v>83487621059</v>
      </c>
      <c r="K58" s="8">
        <v>299900</v>
      </c>
      <c r="L58" s="6" t="s">
        <v>44</v>
      </c>
      <c r="M58" s="6" t="s">
        <v>28</v>
      </c>
      <c r="N58" s="6" t="s">
        <v>45</v>
      </c>
      <c r="O58" s="7">
        <v>1676265</v>
      </c>
      <c r="P58" s="6"/>
      <c r="Q58" s="7">
        <v>5903007800</v>
      </c>
    </row>
    <row r="59" spans="1:17" x14ac:dyDescent="0.25">
      <c r="A59" s="9">
        <v>46247</v>
      </c>
      <c r="B59" s="9">
        <v>46231</v>
      </c>
      <c r="C59" s="10">
        <v>41531589</v>
      </c>
      <c r="D59" s="10" t="s">
        <v>33</v>
      </c>
      <c r="E59" s="10" t="s">
        <v>17</v>
      </c>
      <c r="F59" s="10" t="s">
        <v>34</v>
      </c>
      <c r="G59" s="11">
        <v>44003750</v>
      </c>
      <c r="H59" s="10" t="s">
        <v>26</v>
      </c>
      <c r="I59" s="10" t="s">
        <v>20</v>
      </c>
      <c r="J59" s="11">
        <v>10052806271</v>
      </c>
      <c r="K59" s="12">
        <v>114950</v>
      </c>
      <c r="L59" s="10" t="s">
        <v>35</v>
      </c>
      <c r="M59" s="10" t="s">
        <v>22</v>
      </c>
      <c r="N59" s="10" t="s">
        <v>36</v>
      </c>
      <c r="O59" s="11">
        <v>1681827</v>
      </c>
      <c r="P59" s="10"/>
      <c r="Q59" s="11">
        <v>5903017931</v>
      </c>
    </row>
    <row r="60" spans="1:17" x14ac:dyDescent="0.25">
      <c r="A60" s="5">
        <v>46247</v>
      </c>
      <c r="B60" s="5">
        <v>46209</v>
      </c>
      <c r="C60" s="6">
        <v>41524787</v>
      </c>
      <c r="D60" s="6" t="s">
        <v>33</v>
      </c>
      <c r="E60" s="6" t="s">
        <v>17</v>
      </c>
      <c r="F60" s="6" t="s">
        <v>37</v>
      </c>
      <c r="G60" s="7">
        <v>1101687486</v>
      </c>
      <c r="H60" s="6" t="s">
        <v>26</v>
      </c>
      <c r="I60" s="6" t="s">
        <v>20</v>
      </c>
      <c r="J60" s="7">
        <v>91248089909</v>
      </c>
      <c r="K60" s="8">
        <v>134950</v>
      </c>
      <c r="L60" s="6" t="s">
        <v>38</v>
      </c>
      <c r="M60" s="6" t="s">
        <v>22</v>
      </c>
      <c r="N60" s="6" t="s">
        <v>39</v>
      </c>
      <c r="O60" s="7">
        <v>1665856</v>
      </c>
      <c r="P60" s="6"/>
      <c r="Q60" s="7">
        <v>5903016723</v>
      </c>
    </row>
    <row r="61" spans="1:17" x14ac:dyDescent="0.25">
      <c r="A61" s="9">
        <v>46247</v>
      </c>
      <c r="B61" s="9">
        <v>46234</v>
      </c>
      <c r="C61" s="10">
        <v>41532674</v>
      </c>
      <c r="D61" s="10" t="s">
        <v>33</v>
      </c>
      <c r="E61" s="10" t="s">
        <v>17</v>
      </c>
      <c r="F61" s="10" t="s">
        <v>47</v>
      </c>
      <c r="G61" s="11">
        <v>44001472</v>
      </c>
      <c r="H61" s="10" t="s">
        <v>26</v>
      </c>
      <c r="I61" s="10" t="s">
        <v>20</v>
      </c>
      <c r="J61" s="11">
        <v>29800019077</v>
      </c>
      <c r="K61" s="12">
        <v>268341</v>
      </c>
      <c r="L61" s="10" t="s">
        <v>48</v>
      </c>
      <c r="M61" s="10" t="s">
        <v>22</v>
      </c>
      <c r="N61" s="10" t="s">
        <v>49</v>
      </c>
      <c r="O61" s="11">
        <v>1683107</v>
      </c>
      <c r="P61" s="10"/>
      <c r="Q61" s="11">
        <v>8300056444</v>
      </c>
    </row>
    <row r="62" spans="1:17" x14ac:dyDescent="0.25">
      <c r="A62" s="5">
        <v>46247</v>
      </c>
      <c r="B62" s="5">
        <v>46232</v>
      </c>
      <c r="C62" s="6">
        <v>41531867</v>
      </c>
      <c r="D62" s="6" t="s">
        <v>33</v>
      </c>
      <c r="E62" s="6" t="s">
        <v>17</v>
      </c>
      <c r="F62" s="6" t="s">
        <v>75</v>
      </c>
      <c r="G62" s="7">
        <v>1020762562</v>
      </c>
      <c r="H62" s="6" t="s">
        <v>19</v>
      </c>
      <c r="I62" s="6" t="s">
        <v>20</v>
      </c>
      <c r="J62" s="7">
        <v>451500057810</v>
      </c>
      <c r="K62" s="8">
        <v>149950</v>
      </c>
      <c r="L62" s="6" t="s">
        <v>76</v>
      </c>
      <c r="M62" s="6" t="s">
        <v>22</v>
      </c>
      <c r="N62" s="6" t="s">
        <v>77</v>
      </c>
      <c r="O62" s="7">
        <v>1680540</v>
      </c>
      <c r="P62" s="6"/>
      <c r="Q62" s="7">
        <v>8300056427</v>
      </c>
    </row>
    <row r="63" spans="1:17" x14ac:dyDescent="0.25">
      <c r="A63" s="9">
        <v>46247</v>
      </c>
      <c r="B63" s="9">
        <v>46226</v>
      </c>
      <c r="C63" s="10">
        <v>41530433</v>
      </c>
      <c r="D63" s="10" t="s">
        <v>33</v>
      </c>
      <c r="E63" s="10" t="s">
        <v>17</v>
      </c>
      <c r="F63" s="10" t="s">
        <v>103</v>
      </c>
      <c r="G63" s="11">
        <v>1017125992</v>
      </c>
      <c r="H63" s="10" t="s">
        <v>26</v>
      </c>
      <c r="I63" s="10" t="s">
        <v>20</v>
      </c>
      <c r="J63" s="11">
        <v>35750104841</v>
      </c>
      <c r="K63" s="12">
        <v>369850</v>
      </c>
      <c r="L63" s="10" t="s">
        <v>44</v>
      </c>
      <c r="M63" s="10" t="s">
        <v>22</v>
      </c>
      <c r="N63" s="10" t="s">
        <v>67</v>
      </c>
      <c r="O63" s="11">
        <v>1678405</v>
      </c>
      <c r="P63" s="10"/>
      <c r="Q63" s="11">
        <v>8300056416</v>
      </c>
    </row>
    <row r="64" spans="1:17" x14ac:dyDescent="0.25">
      <c r="A64" s="5">
        <v>46247</v>
      </c>
      <c r="B64" s="5">
        <v>46228</v>
      </c>
      <c r="C64" s="6">
        <v>41530937</v>
      </c>
      <c r="D64" s="6" t="s">
        <v>33</v>
      </c>
      <c r="E64" s="6" t="s">
        <v>17</v>
      </c>
      <c r="F64" s="6" t="s">
        <v>104</v>
      </c>
      <c r="G64" s="7">
        <v>1022442872</v>
      </c>
      <c r="H64" s="6" t="s">
        <v>81</v>
      </c>
      <c r="I64" s="6" t="s">
        <v>20</v>
      </c>
      <c r="J64" s="7">
        <v>3112665389</v>
      </c>
      <c r="K64" s="8">
        <v>259900</v>
      </c>
      <c r="L64" s="6" t="s">
        <v>84</v>
      </c>
      <c r="M64" s="6" t="s">
        <v>22</v>
      </c>
      <c r="N64" s="6" t="s">
        <v>85</v>
      </c>
      <c r="O64" s="7">
        <v>1677144</v>
      </c>
      <c r="P64" s="6"/>
      <c r="Q64" s="7">
        <v>8300056417</v>
      </c>
    </row>
    <row r="65" spans="1:17" x14ac:dyDescent="0.25">
      <c r="A65" s="9">
        <v>46247</v>
      </c>
      <c r="B65" s="9">
        <v>46232</v>
      </c>
      <c r="C65" s="10">
        <v>41531780</v>
      </c>
      <c r="D65" s="10" t="s">
        <v>33</v>
      </c>
      <c r="E65" s="10" t="s">
        <v>17</v>
      </c>
      <c r="F65" s="10" t="s">
        <v>105</v>
      </c>
      <c r="G65" s="11">
        <v>52931265</v>
      </c>
      <c r="H65" s="10" t="s">
        <v>106</v>
      </c>
      <c r="I65" s="10" t="s">
        <v>20</v>
      </c>
      <c r="J65" s="11">
        <v>3107662226</v>
      </c>
      <c r="K65" s="12">
        <v>119950</v>
      </c>
      <c r="L65" s="10" t="s">
        <v>73</v>
      </c>
      <c r="M65" s="10" t="s">
        <v>22</v>
      </c>
      <c r="N65" s="10" t="s">
        <v>39</v>
      </c>
      <c r="O65" s="11">
        <v>1680028</v>
      </c>
      <c r="P65" s="10"/>
      <c r="Q65" s="11">
        <v>8300056418</v>
      </c>
    </row>
    <row r="66" spans="1:17" x14ac:dyDescent="0.25">
      <c r="A66" s="5">
        <v>46247</v>
      </c>
      <c r="B66" s="5">
        <v>46208</v>
      </c>
      <c r="C66" s="6">
        <v>41524378</v>
      </c>
      <c r="D66" s="6" t="s">
        <v>33</v>
      </c>
      <c r="E66" s="6" t="s">
        <v>17</v>
      </c>
      <c r="F66" s="6" t="s">
        <v>176</v>
      </c>
      <c r="G66" s="7">
        <v>32104007</v>
      </c>
      <c r="H66" s="6" t="s">
        <v>26</v>
      </c>
      <c r="I66" s="6" t="s">
        <v>20</v>
      </c>
      <c r="J66" s="7">
        <v>91264042190</v>
      </c>
      <c r="K66" s="8">
        <v>119950</v>
      </c>
      <c r="L66" s="6" t="s">
        <v>21</v>
      </c>
      <c r="M66" s="6" t="s">
        <v>22</v>
      </c>
      <c r="N66" s="6" t="s">
        <v>177</v>
      </c>
      <c r="O66" s="7">
        <v>1660445</v>
      </c>
      <c r="P66" s="6"/>
      <c r="Q66" s="7">
        <v>8300056456</v>
      </c>
    </row>
    <row r="67" spans="1:17" s="4" customFormat="1" x14ac:dyDescent="0.25">
      <c r="A67" s="9">
        <v>46247</v>
      </c>
      <c r="B67" s="9">
        <v>46223</v>
      </c>
      <c r="C67" s="10">
        <v>41528898</v>
      </c>
      <c r="D67" s="10" t="s">
        <v>33</v>
      </c>
      <c r="E67" s="10" t="s">
        <v>17</v>
      </c>
      <c r="F67" s="10" t="s">
        <v>182</v>
      </c>
      <c r="G67" s="11">
        <v>1085301938</v>
      </c>
      <c r="H67" s="10" t="s">
        <v>26</v>
      </c>
      <c r="I67" s="10" t="s">
        <v>20</v>
      </c>
      <c r="J67" s="11">
        <v>7412988871</v>
      </c>
      <c r="K67" s="12">
        <v>152039</v>
      </c>
      <c r="L67" s="10" t="s">
        <v>170</v>
      </c>
      <c r="M67" s="10" t="s">
        <v>22</v>
      </c>
      <c r="N67" s="10" t="s">
        <v>49</v>
      </c>
      <c r="O67" s="11">
        <v>1675429</v>
      </c>
      <c r="P67" s="10"/>
      <c r="Q67" s="11">
        <v>5903019668</v>
      </c>
    </row>
    <row r="68" spans="1:17" s="4" customFormat="1" x14ac:dyDescent="0.25">
      <c r="A68" s="5">
        <v>46238</v>
      </c>
      <c r="B68" s="5">
        <v>46218</v>
      </c>
      <c r="C68" s="6">
        <v>41526829</v>
      </c>
      <c r="D68" s="6" t="s">
        <v>33</v>
      </c>
      <c r="E68" s="6" t="s">
        <v>17</v>
      </c>
      <c r="F68" s="6" t="s">
        <v>210</v>
      </c>
      <c r="G68" s="7">
        <v>66982669</v>
      </c>
      <c r="H68" s="6" t="s">
        <v>115</v>
      </c>
      <c r="I68" s="6" t="s">
        <v>20</v>
      </c>
      <c r="J68" s="7">
        <v>274426345</v>
      </c>
      <c r="K68" s="8">
        <v>164950</v>
      </c>
      <c r="L68" s="6" t="s">
        <v>117</v>
      </c>
      <c r="M68" s="6" t="s">
        <v>22</v>
      </c>
      <c r="N68" s="6" t="s">
        <v>211</v>
      </c>
      <c r="O68" s="7">
        <v>1673486</v>
      </c>
      <c r="P68" s="6"/>
      <c r="Q68" s="7">
        <v>5902994230</v>
      </c>
    </row>
    <row r="69" spans="1:17" s="4" customFormat="1" x14ac:dyDescent="0.25">
      <c r="A69" s="9">
        <v>46247</v>
      </c>
      <c r="B69" s="9">
        <v>46215</v>
      </c>
      <c r="C69" s="10">
        <v>208330</v>
      </c>
      <c r="D69" s="10" t="s">
        <v>30</v>
      </c>
      <c r="E69" s="10" t="s">
        <v>17</v>
      </c>
      <c r="F69" s="10" t="s">
        <v>220</v>
      </c>
      <c r="G69" s="11">
        <v>1001972776</v>
      </c>
      <c r="H69" s="10" t="s">
        <v>26</v>
      </c>
      <c r="I69" s="10" t="s">
        <v>20</v>
      </c>
      <c r="J69" s="11">
        <v>67822280681</v>
      </c>
      <c r="K69" s="12">
        <v>91960</v>
      </c>
      <c r="L69" s="10" t="s">
        <v>27</v>
      </c>
      <c r="M69" s="10" t="s">
        <v>31</v>
      </c>
      <c r="N69" s="10" t="s">
        <v>32</v>
      </c>
      <c r="O69" s="11">
        <v>1664836</v>
      </c>
      <c r="P69" s="10"/>
      <c r="Q69" s="11">
        <v>5903017804</v>
      </c>
    </row>
    <row r="70" spans="1:17" s="4" customFormat="1" x14ac:dyDescent="0.25">
      <c r="A70" s="5">
        <v>46247</v>
      </c>
      <c r="B70" s="5">
        <v>45981</v>
      </c>
      <c r="C70" s="6">
        <v>1019793</v>
      </c>
      <c r="D70" s="6" t="s">
        <v>157</v>
      </c>
      <c r="E70" s="6" t="s">
        <v>17</v>
      </c>
      <c r="F70" s="6" t="s">
        <v>158</v>
      </c>
      <c r="G70" s="7">
        <v>1073162522</v>
      </c>
      <c r="H70" s="6" t="s">
        <v>26</v>
      </c>
      <c r="I70" s="6" t="s">
        <v>20</v>
      </c>
      <c r="J70" s="7">
        <v>66240286883</v>
      </c>
      <c r="K70" s="8">
        <v>269830</v>
      </c>
      <c r="L70" s="6" t="s">
        <v>152</v>
      </c>
      <c r="M70" s="6" t="s">
        <v>159</v>
      </c>
      <c r="N70" s="6" t="s">
        <v>160</v>
      </c>
      <c r="O70" s="7">
        <v>1684058</v>
      </c>
      <c r="P70" s="6"/>
      <c r="Q70" s="7" t="s">
        <v>195</v>
      </c>
    </row>
    <row r="71" spans="1:17" s="4" customFormat="1" x14ac:dyDescent="0.25">
      <c r="A71" s="9">
        <v>46232</v>
      </c>
      <c r="B71" s="9">
        <v>46200</v>
      </c>
      <c r="C71" s="10">
        <v>1060971</v>
      </c>
      <c r="D71" s="10" t="s">
        <v>157</v>
      </c>
      <c r="E71" s="10" t="s">
        <v>17</v>
      </c>
      <c r="F71" s="10" t="s">
        <v>196</v>
      </c>
      <c r="G71" s="11">
        <v>1036940294</v>
      </c>
      <c r="H71" s="10" t="s">
        <v>26</v>
      </c>
      <c r="I71" s="10" t="s">
        <v>20</v>
      </c>
      <c r="J71" s="11">
        <v>91275801301</v>
      </c>
      <c r="K71" s="12">
        <v>99950</v>
      </c>
      <c r="L71" s="10" t="s">
        <v>35</v>
      </c>
      <c r="M71" s="10" t="s">
        <v>22</v>
      </c>
      <c r="N71" s="10" t="s">
        <v>197</v>
      </c>
      <c r="O71" s="11">
        <v>1657303</v>
      </c>
      <c r="P71" s="10"/>
      <c r="Q71" s="11">
        <v>5902977292</v>
      </c>
    </row>
    <row r="72" spans="1:17" s="4" customFormat="1" x14ac:dyDescent="0.25">
      <c r="A72" s="5">
        <v>46247</v>
      </c>
      <c r="B72" s="5">
        <v>46234</v>
      </c>
      <c r="C72" s="6">
        <v>548546</v>
      </c>
      <c r="D72" s="6" t="s">
        <v>24</v>
      </c>
      <c r="E72" s="6" t="s">
        <v>17</v>
      </c>
      <c r="F72" s="6" t="s">
        <v>221</v>
      </c>
      <c r="G72" s="7">
        <v>1037653585</v>
      </c>
      <c r="H72" s="6" t="s">
        <v>26</v>
      </c>
      <c r="I72" s="6" t="s">
        <v>20</v>
      </c>
      <c r="J72" s="7">
        <v>2998553493</v>
      </c>
      <c r="K72" s="8">
        <v>114950</v>
      </c>
      <c r="L72" s="6" t="s">
        <v>27</v>
      </c>
      <c r="M72" s="6" t="s">
        <v>22</v>
      </c>
      <c r="N72" s="6" t="s">
        <v>46</v>
      </c>
      <c r="O72" s="7">
        <v>1682696</v>
      </c>
      <c r="P72" s="6"/>
      <c r="Q72" s="7">
        <v>8300056443</v>
      </c>
    </row>
    <row r="73" spans="1:17" s="4" customFormat="1" x14ac:dyDescent="0.25">
      <c r="A73" s="9">
        <v>46247</v>
      </c>
      <c r="B73" s="9">
        <v>46223</v>
      </c>
      <c r="C73" s="10">
        <v>547720</v>
      </c>
      <c r="D73" s="10" t="s">
        <v>24</v>
      </c>
      <c r="E73" s="10" t="s">
        <v>17</v>
      </c>
      <c r="F73" s="10" t="s">
        <v>50</v>
      </c>
      <c r="G73" s="11">
        <v>1075291368</v>
      </c>
      <c r="H73" s="10" t="s">
        <v>26</v>
      </c>
      <c r="I73" s="10" t="s">
        <v>20</v>
      </c>
      <c r="J73" s="11">
        <v>45799596559</v>
      </c>
      <c r="K73" s="12">
        <v>118957</v>
      </c>
      <c r="L73" s="10" t="s">
        <v>27</v>
      </c>
      <c r="M73" s="10" t="s">
        <v>22</v>
      </c>
      <c r="N73" s="10" t="s">
        <v>46</v>
      </c>
      <c r="O73" s="11">
        <v>1677987</v>
      </c>
      <c r="P73" s="10"/>
      <c r="Q73" s="11">
        <v>8300056433</v>
      </c>
    </row>
    <row r="74" spans="1:17" s="4" customFormat="1" x14ac:dyDescent="0.25">
      <c r="A74" s="5">
        <v>46247</v>
      </c>
      <c r="B74" s="5">
        <v>46223</v>
      </c>
      <c r="C74" s="6">
        <v>547723</v>
      </c>
      <c r="D74" s="6" t="s">
        <v>24</v>
      </c>
      <c r="E74" s="6" t="s">
        <v>17</v>
      </c>
      <c r="F74" s="6" t="s">
        <v>222</v>
      </c>
      <c r="G74" s="7">
        <v>1090395429</v>
      </c>
      <c r="H74" s="6" t="s">
        <v>115</v>
      </c>
      <c r="I74" s="6" t="s">
        <v>20</v>
      </c>
      <c r="J74" s="7">
        <v>321697542</v>
      </c>
      <c r="K74" s="8">
        <v>118957</v>
      </c>
      <c r="L74" s="6" t="s">
        <v>27</v>
      </c>
      <c r="M74" s="6" t="s">
        <v>22</v>
      </c>
      <c r="N74" s="6" t="s">
        <v>46</v>
      </c>
      <c r="O74" s="7">
        <v>1677139</v>
      </c>
      <c r="P74" s="6"/>
      <c r="Q74" s="7">
        <v>8300056401</v>
      </c>
    </row>
    <row r="75" spans="1:17" x14ac:dyDescent="0.25">
      <c r="A75" s="9">
        <v>46247</v>
      </c>
      <c r="B75" s="9">
        <v>46219</v>
      </c>
      <c r="C75" s="10">
        <v>123992</v>
      </c>
      <c r="D75" s="10" t="s">
        <v>24</v>
      </c>
      <c r="E75" s="10" t="s">
        <v>17</v>
      </c>
      <c r="F75" s="10" t="s">
        <v>183</v>
      </c>
      <c r="G75" s="11">
        <v>1234097153</v>
      </c>
      <c r="H75" s="10" t="s">
        <v>26</v>
      </c>
      <c r="I75" s="10" t="s">
        <v>20</v>
      </c>
      <c r="J75" s="11">
        <v>55403955611</v>
      </c>
      <c r="K75" s="12">
        <v>189900</v>
      </c>
      <c r="L75" s="10" t="s">
        <v>27</v>
      </c>
      <c r="M75" s="10" t="s">
        <v>28</v>
      </c>
      <c r="N75" s="10" t="s">
        <v>184</v>
      </c>
      <c r="O75" s="11">
        <v>1685175</v>
      </c>
      <c r="P75" s="10"/>
      <c r="Q75" s="11">
        <v>5903019469</v>
      </c>
    </row>
    <row r="76" spans="1:17" s="4" customFormat="1" x14ac:dyDescent="0.25">
      <c r="A76" s="5">
        <v>46247</v>
      </c>
      <c r="B76" s="5">
        <v>46224</v>
      </c>
      <c r="C76" s="6">
        <v>124261</v>
      </c>
      <c r="D76" s="6" t="s">
        <v>24</v>
      </c>
      <c r="E76" s="6" t="s">
        <v>17</v>
      </c>
      <c r="F76" s="6" t="s">
        <v>25</v>
      </c>
      <c r="G76" s="7">
        <v>1001820055</v>
      </c>
      <c r="H76" s="6" t="s">
        <v>26</v>
      </c>
      <c r="I76" s="6" t="s">
        <v>20</v>
      </c>
      <c r="J76" s="7">
        <v>47796173650</v>
      </c>
      <c r="K76" s="8">
        <v>76458</v>
      </c>
      <c r="L76" s="6" t="s">
        <v>27</v>
      </c>
      <c r="M76" s="6" t="s">
        <v>28</v>
      </c>
      <c r="N76" s="6" t="s">
        <v>29</v>
      </c>
      <c r="O76" s="7">
        <v>1685196</v>
      </c>
      <c r="P76" s="6"/>
      <c r="Q76" s="7">
        <v>5903019467</v>
      </c>
    </row>
    <row r="77" spans="1:17" x14ac:dyDescent="0.25">
      <c r="J77" s="13" t="s">
        <v>223</v>
      </c>
      <c r="K77" s="14">
        <f>SUM(K2:K76)</f>
        <v>18009379</v>
      </c>
    </row>
  </sheetData>
  <conditionalFormatting sqref="C1:C1048576 F1:G1048576 J1:J1048576 O1:O1048576 Q1:Q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Brayan Henao Rojas</dc:creator>
  <cp:lastModifiedBy>Auxiliar Tesoreria 2</cp:lastModifiedBy>
  <dcterms:created xsi:type="dcterms:W3CDTF">2026-08-18T13:45:16Z</dcterms:created>
  <dcterms:modified xsi:type="dcterms:W3CDTF">2026-08-18T17:57:42Z</dcterms:modified>
</cp:coreProperties>
</file>